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User\Box\RESUMES AND LEADS\Upwork demos\"/>
    </mc:Choice>
  </mc:AlternateContent>
  <bookViews>
    <workbookView xWindow="0" yWindow="0" windowWidth="23040" windowHeight="9192"/>
  </bookViews>
  <sheets>
    <sheet name="Notes" sheetId="4" r:id="rId1"/>
    <sheet name="CommissionsForTechs" sheetId="3" r:id="rId2"/>
    <sheet name="Data" sheetId="1" r:id="rId3"/>
    <sheet name="Assumptions" sheetId="2" r:id="rId4"/>
  </sheets>
  <calcPr calcId="162913"/>
  <pivotCaches>
    <pivotCache cacheId="134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9" i="1" l="1"/>
  <c r="E139" i="1"/>
  <c r="G139" i="1" s="1"/>
  <c r="B139" i="1"/>
  <c r="A139" i="1"/>
  <c r="F138" i="1"/>
  <c r="E138" i="1"/>
  <c r="G138" i="1" s="1"/>
  <c r="B138" i="1"/>
  <c r="A138" i="1"/>
  <c r="F137" i="1"/>
  <c r="E137" i="1"/>
  <c r="G137" i="1" s="1"/>
  <c r="B137" i="1"/>
  <c r="A137" i="1"/>
  <c r="F136" i="1"/>
  <c r="E136" i="1"/>
  <c r="G136" i="1" s="1"/>
  <c r="B136" i="1"/>
  <c r="A136" i="1"/>
  <c r="F135" i="1"/>
  <c r="E135" i="1"/>
  <c r="G135" i="1" s="1"/>
  <c r="B135" i="1"/>
  <c r="A135" i="1"/>
  <c r="F134" i="1"/>
  <c r="E134" i="1"/>
  <c r="G134" i="1" s="1"/>
  <c r="B134" i="1"/>
  <c r="A134" i="1"/>
  <c r="F133" i="1"/>
  <c r="E133" i="1"/>
  <c r="G133" i="1" s="1"/>
  <c r="B133" i="1"/>
  <c r="A133" i="1"/>
  <c r="F132" i="1"/>
  <c r="E132" i="1"/>
  <c r="G132" i="1" s="1"/>
  <c r="B132" i="1"/>
  <c r="A132" i="1"/>
  <c r="F131" i="1"/>
  <c r="E131" i="1"/>
  <c r="G131" i="1" s="1"/>
  <c r="B131" i="1"/>
  <c r="A131" i="1"/>
  <c r="F130" i="1"/>
  <c r="E130" i="1"/>
  <c r="G130" i="1" s="1"/>
  <c r="B130" i="1"/>
  <c r="A130" i="1"/>
  <c r="F129" i="1"/>
  <c r="E129" i="1"/>
  <c r="G129" i="1" s="1"/>
  <c r="B129" i="1"/>
  <c r="A129" i="1"/>
  <c r="F128" i="1"/>
  <c r="E128" i="1"/>
  <c r="G128" i="1" s="1"/>
  <c r="B128" i="1"/>
  <c r="A128" i="1"/>
  <c r="F127" i="1"/>
  <c r="E127" i="1"/>
  <c r="G127" i="1" s="1"/>
  <c r="B127" i="1"/>
  <c r="A127" i="1"/>
  <c r="F126" i="1"/>
  <c r="E126" i="1"/>
  <c r="G126" i="1" s="1"/>
  <c r="B126" i="1"/>
  <c r="A126" i="1"/>
  <c r="F125" i="1"/>
  <c r="E125" i="1"/>
  <c r="G125" i="1" s="1"/>
  <c r="B125" i="1"/>
  <c r="A125" i="1"/>
  <c r="F124" i="1"/>
  <c r="E124" i="1"/>
  <c r="G124" i="1" s="1"/>
  <c r="B124" i="1"/>
  <c r="A124" i="1"/>
  <c r="F123" i="1"/>
  <c r="E123" i="1"/>
  <c r="G123" i="1" s="1"/>
  <c r="B123" i="1"/>
  <c r="A123" i="1"/>
  <c r="F122" i="1"/>
  <c r="E122" i="1"/>
  <c r="G122" i="1" s="1"/>
  <c r="B122" i="1"/>
  <c r="A122" i="1"/>
  <c r="F121" i="1"/>
  <c r="E121" i="1"/>
  <c r="G121" i="1" s="1"/>
  <c r="B121" i="1"/>
  <c r="A121" i="1"/>
  <c r="F120" i="1"/>
  <c r="E120" i="1"/>
  <c r="G120" i="1" s="1"/>
  <c r="B120" i="1"/>
  <c r="A120" i="1"/>
  <c r="F119" i="1"/>
  <c r="E119" i="1"/>
  <c r="G119" i="1" s="1"/>
  <c r="B119" i="1"/>
  <c r="A119" i="1"/>
  <c r="F118" i="1"/>
  <c r="E118" i="1"/>
  <c r="G118" i="1" s="1"/>
  <c r="B118" i="1"/>
  <c r="A118" i="1"/>
  <c r="F117" i="1"/>
  <c r="E117" i="1"/>
  <c r="G117" i="1" s="1"/>
  <c r="B117" i="1"/>
  <c r="A117" i="1"/>
  <c r="F116" i="1"/>
  <c r="E116" i="1"/>
  <c r="G116" i="1" s="1"/>
  <c r="B116" i="1"/>
  <c r="A116" i="1"/>
  <c r="F115" i="1"/>
  <c r="E115" i="1"/>
  <c r="G115" i="1" s="1"/>
  <c r="B115" i="1"/>
  <c r="A115" i="1"/>
  <c r="F114" i="1"/>
  <c r="E114" i="1"/>
  <c r="G114" i="1" s="1"/>
  <c r="B114" i="1"/>
  <c r="A114" i="1"/>
  <c r="F113" i="1"/>
  <c r="E113" i="1"/>
  <c r="G113" i="1" s="1"/>
  <c r="B113" i="1"/>
  <c r="A113" i="1"/>
  <c r="F112" i="1"/>
  <c r="E112" i="1"/>
  <c r="G112" i="1" s="1"/>
  <c r="B112" i="1"/>
  <c r="A112" i="1"/>
  <c r="F111" i="1"/>
  <c r="E111" i="1"/>
  <c r="G111" i="1" s="1"/>
  <c r="B111" i="1"/>
  <c r="A111" i="1"/>
  <c r="F110" i="1"/>
  <c r="E110" i="1"/>
  <c r="G110" i="1" s="1"/>
  <c r="B110" i="1"/>
  <c r="A110" i="1"/>
  <c r="F109" i="1"/>
  <c r="E109" i="1"/>
  <c r="G109" i="1" s="1"/>
  <c r="B109" i="1"/>
  <c r="A109" i="1"/>
  <c r="F108" i="1"/>
  <c r="E108" i="1"/>
  <c r="G108" i="1" s="1"/>
  <c r="B108" i="1"/>
  <c r="A108" i="1"/>
  <c r="F107" i="1"/>
  <c r="E107" i="1"/>
  <c r="G107" i="1" s="1"/>
  <c r="B107" i="1"/>
  <c r="A107" i="1"/>
  <c r="F106" i="1"/>
  <c r="E106" i="1"/>
  <c r="G106" i="1" s="1"/>
  <c r="B106" i="1"/>
  <c r="A106" i="1"/>
  <c r="F105" i="1"/>
  <c r="E105" i="1"/>
  <c r="G105" i="1" s="1"/>
  <c r="B105" i="1"/>
  <c r="A105" i="1"/>
  <c r="F104" i="1"/>
  <c r="E104" i="1"/>
  <c r="G104" i="1" s="1"/>
  <c r="B104" i="1"/>
  <c r="A104" i="1"/>
  <c r="F103" i="1"/>
  <c r="E103" i="1"/>
  <c r="G103" i="1" s="1"/>
  <c r="B103" i="1"/>
  <c r="A103" i="1"/>
  <c r="F102" i="1"/>
  <c r="E102" i="1"/>
  <c r="G102" i="1" s="1"/>
  <c r="B102" i="1"/>
  <c r="A102" i="1"/>
  <c r="F101" i="1"/>
  <c r="E101" i="1"/>
  <c r="G101" i="1" s="1"/>
  <c r="B101" i="1"/>
  <c r="A101" i="1"/>
  <c r="F100" i="1"/>
  <c r="E100" i="1"/>
  <c r="G100" i="1" s="1"/>
  <c r="B100" i="1"/>
  <c r="A100" i="1"/>
  <c r="F99" i="1"/>
  <c r="E99" i="1"/>
  <c r="G99" i="1" s="1"/>
  <c r="B99" i="1"/>
  <c r="A99" i="1"/>
  <c r="F98" i="1"/>
  <c r="E98" i="1"/>
  <c r="G98" i="1" s="1"/>
  <c r="B98" i="1"/>
  <c r="A98" i="1"/>
  <c r="F97" i="1"/>
  <c r="E97" i="1"/>
  <c r="G97" i="1" s="1"/>
  <c r="B97" i="1"/>
  <c r="A97" i="1"/>
  <c r="F96" i="1"/>
  <c r="E96" i="1"/>
  <c r="G96" i="1" s="1"/>
  <c r="B96" i="1"/>
  <c r="A96" i="1"/>
  <c r="F95" i="1"/>
  <c r="E95" i="1"/>
  <c r="G95" i="1" s="1"/>
  <c r="B95" i="1"/>
  <c r="A95" i="1"/>
  <c r="F94" i="1"/>
  <c r="E94" i="1"/>
  <c r="G94" i="1" s="1"/>
  <c r="B94" i="1"/>
  <c r="A94" i="1"/>
  <c r="F93" i="1"/>
  <c r="E93" i="1"/>
  <c r="G93" i="1" s="1"/>
  <c r="B93" i="1"/>
  <c r="A93" i="1"/>
  <c r="F92" i="1"/>
  <c r="E92" i="1"/>
  <c r="G92" i="1" s="1"/>
  <c r="B92" i="1"/>
  <c r="A92" i="1"/>
  <c r="F91" i="1"/>
  <c r="E91" i="1"/>
  <c r="G91" i="1" s="1"/>
  <c r="B91" i="1"/>
  <c r="A91" i="1"/>
  <c r="F90" i="1"/>
  <c r="E90" i="1"/>
  <c r="G90" i="1" s="1"/>
  <c r="B90" i="1"/>
  <c r="A90" i="1"/>
  <c r="F89" i="1"/>
  <c r="E89" i="1"/>
  <c r="G89" i="1" s="1"/>
  <c r="B89" i="1"/>
  <c r="A89" i="1"/>
  <c r="F88" i="1"/>
  <c r="E88" i="1"/>
  <c r="G88" i="1" s="1"/>
  <c r="B88" i="1"/>
  <c r="A88" i="1"/>
  <c r="F87" i="1"/>
  <c r="E87" i="1"/>
  <c r="G87" i="1" s="1"/>
  <c r="B87" i="1"/>
  <c r="A87" i="1"/>
  <c r="F86" i="1"/>
  <c r="E86" i="1"/>
  <c r="G86" i="1" s="1"/>
  <c r="B86" i="1"/>
  <c r="A86" i="1"/>
  <c r="F85" i="1"/>
  <c r="E85" i="1"/>
  <c r="G85" i="1" s="1"/>
  <c r="B85" i="1"/>
  <c r="A85" i="1"/>
  <c r="F84" i="1"/>
  <c r="E84" i="1"/>
  <c r="G84" i="1" s="1"/>
  <c r="B84" i="1"/>
  <c r="A84" i="1"/>
  <c r="F83" i="1"/>
  <c r="E83" i="1"/>
  <c r="G83" i="1" s="1"/>
  <c r="B83" i="1"/>
  <c r="A83" i="1"/>
  <c r="F82" i="1"/>
  <c r="E82" i="1"/>
  <c r="G82" i="1" s="1"/>
  <c r="B82" i="1"/>
  <c r="A82" i="1"/>
  <c r="F81" i="1"/>
  <c r="E81" i="1"/>
  <c r="G81" i="1" s="1"/>
  <c r="B81" i="1"/>
  <c r="A81" i="1"/>
  <c r="F80" i="1"/>
  <c r="E80" i="1"/>
  <c r="G80" i="1" s="1"/>
  <c r="B80" i="1"/>
  <c r="A80" i="1"/>
  <c r="F79" i="1"/>
  <c r="E79" i="1"/>
  <c r="G79" i="1" s="1"/>
  <c r="B79" i="1"/>
  <c r="A79" i="1"/>
  <c r="F78" i="1"/>
  <c r="E78" i="1"/>
  <c r="G78" i="1" s="1"/>
  <c r="B78" i="1"/>
  <c r="A78" i="1"/>
  <c r="F77" i="1"/>
  <c r="E77" i="1"/>
  <c r="G77" i="1" s="1"/>
  <c r="B77" i="1"/>
  <c r="A77" i="1"/>
  <c r="F76" i="1"/>
  <c r="E76" i="1"/>
  <c r="G76" i="1" s="1"/>
  <c r="B76" i="1"/>
  <c r="A76" i="1"/>
  <c r="F75" i="1"/>
  <c r="E75" i="1"/>
  <c r="G75" i="1" s="1"/>
  <c r="B75" i="1"/>
  <c r="A75" i="1"/>
  <c r="F74" i="1"/>
  <c r="E74" i="1"/>
  <c r="G74" i="1" s="1"/>
  <c r="B74" i="1"/>
  <c r="A74" i="1"/>
  <c r="F73" i="1"/>
  <c r="E73" i="1"/>
  <c r="G73" i="1" s="1"/>
  <c r="B73" i="1"/>
  <c r="A73" i="1"/>
  <c r="F72" i="1"/>
  <c r="E72" i="1"/>
  <c r="G72" i="1" s="1"/>
  <c r="B72" i="1"/>
  <c r="A72" i="1"/>
  <c r="F71" i="1"/>
  <c r="E71" i="1"/>
  <c r="G71" i="1" s="1"/>
  <c r="B71" i="1"/>
  <c r="A71" i="1"/>
  <c r="F70" i="1"/>
  <c r="E70" i="1"/>
  <c r="G70" i="1" s="1"/>
  <c r="B70" i="1"/>
  <c r="A70" i="1"/>
  <c r="F69" i="1"/>
  <c r="E69" i="1"/>
  <c r="G69" i="1" s="1"/>
  <c r="B69" i="1"/>
  <c r="A69" i="1"/>
  <c r="F68" i="1"/>
  <c r="E68" i="1"/>
  <c r="G68" i="1" s="1"/>
  <c r="B68" i="1"/>
  <c r="A68" i="1"/>
  <c r="F67" i="1"/>
  <c r="E67" i="1"/>
  <c r="G67" i="1" s="1"/>
  <c r="B67" i="1"/>
  <c r="A67" i="1"/>
  <c r="F66" i="1"/>
  <c r="E66" i="1"/>
  <c r="G66" i="1" s="1"/>
  <c r="B66" i="1"/>
  <c r="A66" i="1"/>
  <c r="F65" i="1"/>
  <c r="E65" i="1"/>
  <c r="G65" i="1" s="1"/>
  <c r="B65" i="1"/>
  <c r="A65" i="1"/>
  <c r="F64" i="1"/>
  <c r="E64" i="1"/>
  <c r="G64" i="1" s="1"/>
  <c r="B64" i="1"/>
  <c r="A64" i="1"/>
  <c r="F63" i="1"/>
  <c r="E63" i="1"/>
  <c r="G63" i="1" s="1"/>
  <c r="B63" i="1"/>
  <c r="A63" i="1"/>
  <c r="F62" i="1"/>
  <c r="E62" i="1"/>
  <c r="G62" i="1" s="1"/>
  <c r="B62" i="1"/>
  <c r="A62" i="1"/>
  <c r="F61" i="1"/>
  <c r="E61" i="1"/>
  <c r="G61" i="1" s="1"/>
  <c r="B61" i="1"/>
  <c r="A61" i="1"/>
  <c r="F60" i="1"/>
  <c r="E60" i="1"/>
  <c r="G60" i="1" s="1"/>
  <c r="B60" i="1"/>
  <c r="A60" i="1"/>
  <c r="F59" i="1"/>
  <c r="E59" i="1"/>
  <c r="G59" i="1" s="1"/>
  <c r="B59" i="1"/>
  <c r="A59" i="1"/>
  <c r="F58" i="1"/>
  <c r="E58" i="1"/>
  <c r="G58" i="1" s="1"/>
  <c r="B58" i="1"/>
  <c r="A58" i="1"/>
  <c r="F57" i="1"/>
  <c r="E57" i="1"/>
  <c r="G57" i="1" s="1"/>
  <c r="B57" i="1"/>
  <c r="A57" i="1"/>
  <c r="F56" i="1"/>
  <c r="E56" i="1"/>
  <c r="G56" i="1" s="1"/>
  <c r="B56" i="1"/>
  <c r="A56" i="1"/>
  <c r="F55" i="1"/>
  <c r="E55" i="1"/>
  <c r="G55" i="1" s="1"/>
  <c r="B55" i="1"/>
  <c r="A55" i="1"/>
  <c r="F54" i="1"/>
  <c r="E54" i="1"/>
  <c r="G54" i="1" s="1"/>
  <c r="B54" i="1"/>
  <c r="A54" i="1"/>
  <c r="F53" i="1"/>
  <c r="E53" i="1"/>
  <c r="G53" i="1" s="1"/>
  <c r="B53" i="1"/>
  <c r="A53" i="1"/>
  <c r="F52" i="1"/>
  <c r="E52" i="1"/>
  <c r="G52" i="1" s="1"/>
  <c r="B52" i="1"/>
  <c r="A52" i="1"/>
  <c r="F51" i="1"/>
  <c r="E51" i="1"/>
  <c r="G51" i="1" s="1"/>
  <c r="B51" i="1"/>
  <c r="A51" i="1"/>
  <c r="F50" i="1"/>
  <c r="E50" i="1"/>
  <c r="G50" i="1" s="1"/>
  <c r="B50" i="1"/>
  <c r="A50" i="1"/>
  <c r="F49" i="1"/>
  <c r="E49" i="1"/>
  <c r="G49" i="1" s="1"/>
  <c r="B49" i="1"/>
  <c r="A49" i="1"/>
  <c r="F48" i="1"/>
  <c r="E48" i="1"/>
  <c r="G48" i="1" s="1"/>
  <c r="B48" i="1"/>
  <c r="A48" i="1"/>
  <c r="F47" i="1"/>
  <c r="E47" i="1"/>
  <c r="G47" i="1" s="1"/>
  <c r="B47" i="1"/>
  <c r="A47" i="1"/>
  <c r="F46" i="1"/>
  <c r="E46" i="1"/>
  <c r="G46" i="1" s="1"/>
  <c r="B46" i="1"/>
  <c r="A46" i="1"/>
  <c r="F45" i="1"/>
  <c r="E45" i="1"/>
  <c r="G45" i="1" s="1"/>
  <c r="B45" i="1"/>
  <c r="A45" i="1"/>
  <c r="F44" i="1"/>
  <c r="E44" i="1"/>
  <c r="G44" i="1" s="1"/>
  <c r="B44" i="1"/>
  <c r="A44" i="1"/>
  <c r="F43" i="1"/>
  <c r="E43" i="1"/>
  <c r="G43" i="1" s="1"/>
  <c r="B43" i="1"/>
  <c r="A43" i="1"/>
  <c r="F42" i="1"/>
  <c r="E42" i="1"/>
  <c r="G42" i="1" s="1"/>
  <c r="B42" i="1"/>
  <c r="A42" i="1"/>
  <c r="F41" i="1"/>
  <c r="E41" i="1"/>
  <c r="G41" i="1" s="1"/>
  <c r="B41" i="1"/>
  <c r="A41" i="1"/>
  <c r="F40" i="1"/>
  <c r="E40" i="1"/>
  <c r="G40" i="1" s="1"/>
  <c r="B40" i="1"/>
  <c r="A40" i="1"/>
  <c r="F39" i="1"/>
  <c r="E39" i="1"/>
  <c r="G39" i="1" s="1"/>
  <c r="B39" i="1"/>
  <c r="A39" i="1"/>
  <c r="F38" i="1"/>
  <c r="E38" i="1"/>
  <c r="G38" i="1" s="1"/>
  <c r="B38" i="1"/>
  <c r="A38" i="1"/>
  <c r="F37" i="1"/>
  <c r="E37" i="1"/>
  <c r="G37" i="1" s="1"/>
  <c r="B37" i="1"/>
  <c r="A37" i="1"/>
  <c r="F36" i="1"/>
  <c r="E36" i="1"/>
  <c r="G36" i="1" s="1"/>
  <c r="B36" i="1"/>
  <c r="A36" i="1"/>
  <c r="F35" i="1"/>
  <c r="E35" i="1"/>
  <c r="G35" i="1" s="1"/>
  <c r="B35" i="1"/>
  <c r="A35" i="1"/>
  <c r="F34" i="1"/>
  <c r="E34" i="1"/>
  <c r="G34" i="1" s="1"/>
  <c r="B34" i="1"/>
  <c r="A34" i="1"/>
  <c r="F33" i="1"/>
  <c r="E33" i="1"/>
  <c r="G33" i="1" s="1"/>
  <c r="B33" i="1"/>
  <c r="A33" i="1"/>
  <c r="F32" i="1"/>
  <c r="E32" i="1"/>
  <c r="G32" i="1" s="1"/>
  <c r="B32" i="1"/>
  <c r="A32" i="1"/>
  <c r="F31" i="1"/>
  <c r="E31" i="1"/>
  <c r="G31" i="1" s="1"/>
  <c r="B31" i="1"/>
  <c r="A31" i="1"/>
  <c r="F30" i="1"/>
  <c r="E30" i="1"/>
  <c r="G30" i="1" s="1"/>
  <c r="B30" i="1"/>
  <c r="A30" i="1"/>
  <c r="F29" i="1"/>
  <c r="E29" i="1"/>
  <c r="G29" i="1" s="1"/>
  <c r="B29" i="1"/>
  <c r="A29" i="1"/>
  <c r="F28" i="1"/>
  <c r="E28" i="1"/>
  <c r="G28" i="1" s="1"/>
  <c r="B28" i="1"/>
  <c r="A28" i="1"/>
  <c r="F27" i="1"/>
  <c r="E27" i="1"/>
  <c r="G27" i="1" s="1"/>
  <c r="B27" i="1"/>
  <c r="A27" i="1"/>
  <c r="F26" i="1"/>
  <c r="E26" i="1"/>
  <c r="G26" i="1" s="1"/>
  <c r="B26" i="1"/>
  <c r="A26" i="1"/>
  <c r="F25" i="1"/>
  <c r="E25" i="1"/>
  <c r="G25" i="1" s="1"/>
  <c r="B25" i="1"/>
  <c r="A25" i="1"/>
  <c r="F24" i="1"/>
  <c r="E24" i="1"/>
  <c r="G24" i="1" s="1"/>
  <c r="B24" i="1"/>
  <c r="A24" i="1"/>
  <c r="F23" i="1"/>
  <c r="E23" i="1"/>
  <c r="G23" i="1" s="1"/>
  <c r="B23" i="1"/>
  <c r="A23" i="1"/>
  <c r="F22" i="1"/>
  <c r="E22" i="1"/>
  <c r="G22" i="1" s="1"/>
  <c r="B22" i="1"/>
  <c r="A22" i="1"/>
  <c r="F21" i="1"/>
  <c r="E21" i="1"/>
  <c r="G21" i="1" s="1"/>
  <c r="B21" i="1"/>
  <c r="A21" i="1"/>
  <c r="F20" i="1"/>
  <c r="E20" i="1"/>
  <c r="G20" i="1" s="1"/>
  <c r="B20" i="1"/>
  <c r="A20" i="1"/>
  <c r="F19" i="1"/>
  <c r="E19" i="1"/>
  <c r="G19" i="1" s="1"/>
  <c r="B19" i="1"/>
  <c r="A19" i="1"/>
  <c r="F18" i="1"/>
  <c r="E18" i="1"/>
  <c r="G18" i="1" s="1"/>
  <c r="B18" i="1"/>
  <c r="A18" i="1"/>
  <c r="F17" i="1"/>
  <c r="E17" i="1"/>
  <c r="G17" i="1" s="1"/>
  <c r="B17" i="1"/>
  <c r="A17" i="1"/>
  <c r="F16" i="1"/>
  <c r="E16" i="1"/>
  <c r="G16" i="1" s="1"/>
  <c r="B16" i="1"/>
  <c r="A16" i="1"/>
  <c r="F15" i="1"/>
  <c r="E15" i="1"/>
  <c r="G15" i="1" s="1"/>
  <c r="B15" i="1"/>
  <c r="A15" i="1"/>
  <c r="F14" i="1"/>
  <c r="E14" i="1"/>
  <c r="G14" i="1" s="1"/>
  <c r="B14" i="1"/>
  <c r="A14" i="1"/>
  <c r="F13" i="1"/>
  <c r="E13" i="1"/>
  <c r="G13" i="1" s="1"/>
  <c r="B13" i="1"/>
  <c r="A13" i="1"/>
  <c r="F12" i="1"/>
  <c r="E12" i="1"/>
  <c r="G12" i="1" s="1"/>
  <c r="B12" i="1"/>
  <c r="A12" i="1"/>
  <c r="F11" i="1"/>
  <c r="E11" i="1"/>
  <c r="G11" i="1" s="1"/>
  <c r="B11" i="1"/>
  <c r="A11" i="1"/>
  <c r="F10" i="1"/>
  <c r="E10" i="1"/>
  <c r="G10" i="1" s="1"/>
  <c r="B10" i="1"/>
  <c r="A10" i="1"/>
  <c r="F9" i="1"/>
  <c r="E9" i="1"/>
  <c r="G9" i="1" s="1"/>
  <c r="B9" i="1"/>
  <c r="A9" i="1"/>
  <c r="F8" i="1"/>
  <c r="E8" i="1"/>
  <c r="G8" i="1" s="1"/>
  <c r="B8" i="1"/>
  <c r="A8" i="1"/>
  <c r="F7" i="1"/>
  <c r="E7" i="1"/>
  <c r="G7" i="1" s="1"/>
  <c r="B7" i="1"/>
  <c r="A7" i="1"/>
  <c r="F6" i="1"/>
  <c r="E6" i="1"/>
  <c r="G6" i="1" s="1"/>
  <c r="B6" i="1"/>
  <c r="A6" i="1"/>
  <c r="F5" i="1"/>
  <c r="E5" i="1"/>
  <c r="G5" i="1" s="1"/>
  <c r="B5" i="1"/>
  <c r="A5" i="1"/>
  <c r="F4" i="1"/>
  <c r="E4" i="1"/>
  <c r="G4" i="1" s="1"/>
  <c r="B4" i="1"/>
  <c r="A4" i="1"/>
  <c r="F3" i="1"/>
  <c r="E3" i="1"/>
  <c r="G3" i="1" s="1"/>
  <c r="B3" i="1"/>
  <c r="A3" i="1"/>
  <c r="F2" i="1"/>
  <c r="E2" i="1"/>
  <c r="G2" i="1" s="1"/>
  <c r="B2" i="1"/>
  <c r="A2" i="1"/>
</calcChain>
</file>

<file path=xl/sharedStrings.xml><?xml version="1.0" encoding="utf-8"?>
<sst xmlns="http://schemas.openxmlformats.org/spreadsheetml/2006/main" count="446" uniqueCount="133">
  <si>
    <t>Invoice ID</t>
  </si>
  <si>
    <t>Date</t>
  </si>
  <si>
    <t>Tech</t>
  </si>
  <si>
    <t>Customer Name</t>
  </si>
  <si>
    <t>Collected</t>
  </si>
  <si>
    <t>Fees</t>
  </si>
  <si>
    <t>Commission</t>
  </si>
  <si>
    <t>Ming Riggle  </t>
  </si>
  <si>
    <t>Maria Staller  </t>
  </si>
  <si>
    <t>Trinidad Ochoa  </t>
  </si>
  <si>
    <t>Darcy Terrill  </t>
  </si>
  <si>
    <t>Alton Bedwell  </t>
  </si>
  <si>
    <t>Carlie Newcomer  </t>
  </si>
  <si>
    <t>Jackeline Gunderson  </t>
  </si>
  <si>
    <t>Lilliana Quirk  </t>
  </si>
  <si>
    <t>Nickie Kari  </t>
  </si>
  <si>
    <t>Jamel Cargile  </t>
  </si>
  <si>
    <t>Dane Velez  </t>
  </si>
  <si>
    <t>Taunya Dille  </t>
  </si>
  <si>
    <t>Leisa Schatz  </t>
  </si>
  <si>
    <t>Marin Vanderhorst  </t>
  </si>
  <si>
    <t>Caleb Parras  </t>
  </si>
  <si>
    <t>Rayford Isherwood  </t>
  </si>
  <si>
    <t>Julianna Amon  </t>
  </si>
  <si>
    <t>Diedra Mcmahon  </t>
  </si>
  <si>
    <t>Sandra Polen  </t>
  </si>
  <si>
    <t>Lewis Bruton  </t>
  </si>
  <si>
    <t>Quinton Folson  </t>
  </si>
  <si>
    <t>Christine Casazza  </t>
  </si>
  <si>
    <t>Earlie Alexis  </t>
  </si>
  <si>
    <t>Indira Prunty  </t>
  </si>
  <si>
    <t>Julie Kulp  </t>
  </si>
  <si>
    <t>Shad Perino  </t>
  </si>
  <si>
    <t>Leann Garza  </t>
  </si>
  <si>
    <t>Michiko Andrew  </t>
  </si>
  <si>
    <t>Yukiko Clatterbuck  </t>
  </si>
  <si>
    <t>Caryn Dominick  </t>
  </si>
  <si>
    <t>Eleonor Ingwersen  </t>
  </si>
  <si>
    <t>Alanna Schimmel  </t>
  </si>
  <si>
    <t>Gladis Samson  </t>
  </si>
  <si>
    <t>Austin Farago  </t>
  </si>
  <si>
    <t>Elmer Arechiga  </t>
  </si>
  <si>
    <t>Britney Domenick  </t>
  </si>
  <si>
    <t>Ashely Kazmierczak  </t>
  </si>
  <si>
    <t>Maryanna Schrader  </t>
  </si>
  <si>
    <t>Dennis Sowder  </t>
  </si>
  <si>
    <t>Loida Maese  </t>
  </si>
  <si>
    <t>Phoebe Krok  </t>
  </si>
  <si>
    <t>Linda Haris  </t>
  </si>
  <si>
    <t>Bibi Drayton  </t>
  </si>
  <si>
    <t>Harrison Aguon  </t>
  </si>
  <si>
    <t>Georgia Dell  </t>
  </si>
  <si>
    <t>Anna Mccaffery  </t>
  </si>
  <si>
    <t>Dante Policastro  </t>
  </si>
  <si>
    <t>Madalene Dimery  </t>
  </si>
  <si>
    <t>Nguyet Mazzella  </t>
  </si>
  <si>
    <t>Jacquelin Ashalintubbi  </t>
  </si>
  <si>
    <t>Glen Slama  </t>
  </si>
  <si>
    <t>Miyoko Cerny  </t>
  </si>
  <si>
    <t>Sharilyn Righter  </t>
  </si>
  <si>
    <t>Ha Bruns  </t>
  </si>
  <si>
    <t>Stephan Munguia  </t>
  </si>
  <si>
    <t>Etha Lutes  </t>
  </si>
  <si>
    <t>Melynda Gersten  </t>
  </si>
  <si>
    <t>Teodoro Halsted  </t>
  </si>
  <si>
    <t>Lexie Glatt  </t>
  </si>
  <si>
    <t>Miriam Hershberger  </t>
  </si>
  <si>
    <t>Yuri Winkelman  </t>
  </si>
  <si>
    <t>Aiko Bader  </t>
  </si>
  <si>
    <t>Ariel Wooley  </t>
  </si>
  <si>
    <t>Janelle Farhat  </t>
  </si>
  <si>
    <t>Roosevelt Burkhard  </t>
  </si>
  <si>
    <t>Breana Heiss  </t>
  </si>
  <si>
    <t>Chieko Perkinson  </t>
  </si>
  <si>
    <t>Reba Leahy  </t>
  </si>
  <si>
    <t>Jeniffer Patch  </t>
  </si>
  <si>
    <t>Helaine Dohm  </t>
  </si>
  <si>
    <t>Ashanti Landsman  </t>
  </si>
  <si>
    <t>Loris Aronson  </t>
  </si>
  <si>
    <t>Shena Wightman  </t>
  </si>
  <si>
    <t>Jovita Stanbery  </t>
  </si>
  <si>
    <t>Dusti Dasilva  </t>
  </si>
  <si>
    <t>Joeann Connolly  </t>
  </si>
  <si>
    <t>Malik Derose  </t>
  </si>
  <si>
    <t>Lynetta Lefevre  </t>
  </si>
  <si>
    <t>Sparkle Tingley  </t>
  </si>
  <si>
    <t>Saran Enz  </t>
  </si>
  <si>
    <t>Charmaine Hollabaugh  </t>
  </si>
  <si>
    <t>Reda Hollie  </t>
  </si>
  <si>
    <t>Dane Gallardo  </t>
  </si>
  <si>
    <t>Roseann Acedo  </t>
  </si>
  <si>
    <t>Emily Rigby  </t>
  </si>
  <si>
    <t>Omega Burke  </t>
  </si>
  <si>
    <t>Ezequiel Bevilacqua  </t>
  </si>
  <si>
    <t>Katelyn Dobrowolski  </t>
  </si>
  <si>
    <t>Jeanmarie Paradise  </t>
  </si>
  <si>
    <t>Lin Dowden  </t>
  </si>
  <si>
    <t>Deedra Weekes  </t>
  </si>
  <si>
    <t>Aretha Tardy  </t>
  </si>
  <si>
    <t>Michiko Cato  </t>
  </si>
  <si>
    <t>Carl Grinstead  </t>
  </si>
  <si>
    <t>Moshe Castrejon  </t>
  </si>
  <si>
    <t>Hung Galbraith  </t>
  </si>
  <si>
    <t>Albertina Running  </t>
  </si>
  <si>
    <t>Mauricio Burkart  </t>
  </si>
  <si>
    <t>Matthew Mccain  </t>
  </si>
  <si>
    <t>Enoch Winland  </t>
  </si>
  <si>
    <t>Shakita Canez  </t>
  </si>
  <si>
    <t>Kizzie Ferrill  </t>
  </si>
  <si>
    <t>Coralie Lowe  </t>
  </si>
  <si>
    <t>Erminia Kurland  </t>
  </si>
  <si>
    <t>Zulma Ropp  </t>
  </si>
  <si>
    <t>Collected amount from</t>
  </si>
  <si>
    <t>Collected amount to</t>
  </si>
  <si>
    <t>Commission %</t>
  </si>
  <si>
    <t>Grand Total</t>
  </si>
  <si>
    <t>(All)</t>
  </si>
  <si>
    <t>Values</t>
  </si>
  <si>
    <t xml:space="preserve">Collected </t>
  </si>
  <si>
    <t xml:space="preserve">Commission </t>
  </si>
  <si>
    <t xml:space="preserve">Fees </t>
  </si>
  <si>
    <t>Sum of Total Commission + Fees</t>
  </si>
  <si>
    <t>Sample from George Mount</t>
  </si>
  <si>
    <t>georgejmount.com</t>
  </si>
  <si>
    <t>@gjmount</t>
  </si>
  <si>
    <t>Instructions:</t>
  </si>
  <si>
    <t>This workbook will generate a worksheet for each tech detailing their commissions earned.</t>
  </si>
  <si>
    <t>The data is stored in the 'Data' tab. In this example we calculate a sliding-scale commission for each tech.</t>
  </si>
  <si>
    <t xml:space="preserve">The data is then summarized in the 'CommissionsForTechs' tab. </t>
  </si>
  <si>
    <t xml:space="preserve">  Update these values with the first square box on that worksheet.</t>
  </si>
  <si>
    <t xml:space="preserve">  Then generate the reports with the second box. A worksheet will be saved for each tech in the folder where this workbook is saved.</t>
  </si>
  <si>
    <t>This is a macro-enabled workbook so make sure to click "Enable" when asked.</t>
  </si>
  <si>
    <t xml:space="preserve">  Right now the data is set to automatically generate to give you an idea of how a data update would work.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</si>
</sst>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"/>
    <numFmt numFmtId="165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horizontal="left" wrapText="1"/>
    </xf>
    <xf numFmtId="9" fontId="0" fillId="0" borderId="0" xfId="0" applyNumberFormat="1" applyAlignment="1">
      <alignment horizontal="left" wrapText="1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 pivotButton="1" applyAlignment="1">
      <alignment horizontal="left"/>
    </xf>
    <xf numFmtId="0" fontId="0" fillId="0" borderId="0" xfId="0" pivotButton="1" applyAlignment="1">
      <alignment horizontal="left" wrapText="1"/>
    </xf>
    <xf numFmtId="14" fontId="0" fillId="0" borderId="0" xfId="0" applyNumberFormat="1" applyAlignment="1">
      <alignment horizontal="left"/>
    </xf>
    <xf numFmtId="165" fontId="0" fillId="0" borderId="0" xfId="0" applyNumberFormat="1" applyAlignment="1">
      <alignment horizontal="left" wrapText="1"/>
    </xf>
    <xf numFmtId="0" fontId="0" fillId="0" borderId="0" xfId="0" quotePrefix="1"/>
  </cellXfs>
  <cellStyles count="1">
    <cellStyle name="Normal" xfId="0" builtinId="0"/>
  </cellStyles>
  <dxfs count="302">
    <dxf>
      <numFmt numFmtId="13" formatCode="0%"/>
      <alignment horizontal="left" vertical="bottom" textRotation="0" indent="0" justifyLastLine="0" shrinkToFit="0" readingOrder="0"/>
    </dxf>
    <dxf>
      <alignment horizontal="left" vertical="bottom" textRotation="0" indent="0" justifyLastLine="0" shrinkToFit="0" readingOrder="0"/>
    </dxf>
    <dxf>
      <alignment horizontal="left" vertical="bottom" textRotation="0" indent="0" justifyLastLine="0" shrinkToFit="0" readingOrder="0"/>
    </dxf>
    <dxf>
      <alignment horizontal="left" vertical="bottom" textRotation="0" indent="0" justifyLastLine="0" shrinkToFit="0" readingOrder="0"/>
    </dxf>
    <dxf>
      <alignment horizontal="left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9" formatCode="m/d/yyyy"/>
    </dxf>
    <dxf>
      <numFmt numFmtId="19" formatCode="m/d/yyyy"/>
    </dxf>
    <dxf>
      <numFmt numFmtId="164" formatCode="&quot;$&quot;#,##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182880</xdr:colOff>
      <xdr:row>0</xdr:row>
      <xdr:rowOff>99060</xdr:rowOff>
    </xdr:from>
    <xdr:to>
      <xdr:col>10</xdr:col>
      <xdr:colOff>571500</xdr:colOff>
      <xdr:row>2</xdr:row>
      <xdr:rowOff>53340</xdr:rowOff>
    </xdr:to>
    <xdr:sp macro="[0]!RefreshCommissionForTechs" textlink="">
      <xdr:nvSpPr>
        <xdr:cNvPr id="2" name="Rectangle 1"/>
        <xdr:cNvSpPr/>
      </xdr:nvSpPr>
      <xdr:spPr>
        <a:xfrm>
          <a:off x="7178040" y="99060"/>
          <a:ext cx="1607820" cy="3200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1. Update</a:t>
          </a:r>
          <a:r>
            <a:rPr lang="en-US" sz="1400" b="1" baseline="0"/>
            <a:t> values</a:t>
          </a:r>
          <a:endParaRPr lang="en-US" sz="1400" b="1"/>
        </a:p>
      </xdr:txBody>
    </xdr:sp>
    <xdr:clientData/>
  </xdr:twoCellAnchor>
  <xdr:twoCellAnchor>
    <xdr:from>
      <xdr:col>8</xdr:col>
      <xdr:colOff>167640</xdr:colOff>
      <xdr:row>2</xdr:row>
      <xdr:rowOff>144780</xdr:rowOff>
    </xdr:from>
    <xdr:to>
      <xdr:col>11</xdr:col>
      <xdr:colOff>381000</xdr:colOff>
      <xdr:row>3</xdr:row>
      <xdr:rowOff>259080</xdr:rowOff>
    </xdr:to>
    <xdr:sp macro="[0]!ReportFilter" textlink="">
      <xdr:nvSpPr>
        <xdr:cNvPr id="3" name="Rectangle 2"/>
        <xdr:cNvSpPr/>
      </xdr:nvSpPr>
      <xdr:spPr>
        <a:xfrm>
          <a:off x="7162800" y="510540"/>
          <a:ext cx="2042160" cy="2971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2. Get</a:t>
          </a:r>
          <a:r>
            <a:rPr lang="en-US" sz="1100" b="1" baseline="0"/>
            <a:t> reports for each tech</a:t>
          </a:r>
          <a:endParaRPr lang="en-US" sz="11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580.450253356481" createdVersion="6" refreshedVersion="6" minRefreshableVersion="3" recordCount="138">
  <cacheSource type="worksheet">
    <worksheetSource name="Invoices"/>
  </cacheSource>
  <cacheFields count="8">
    <cacheField name="Invoice ID" numFmtId="0">
      <sharedItems containsSemiMixedTypes="0" containsString="0" containsNumber="1" containsInteger="1" minValue="111590" maxValue="999667" count="2484">
        <n v="916485"/>
        <n v="488664"/>
        <n v="709072"/>
        <n v="757274"/>
        <n v="513493"/>
        <n v="399615"/>
        <n v="732720"/>
        <n v="887942"/>
        <n v="800258"/>
        <n v="803288"/>
        <n v="561029"/>
        <n v="309669"/>
        <n v="277649"/>
        <n v="518430"/>
        <n v="676802"/>
        <n v="754858"/>
        <n v="899697"/>
        <n v="319957"/>
        <n v="714648"/>
        <n v="999571"/>
        <n v="990307"/>
        <n v="754256"/>
        <n v="136371"/>
        <n v="567361"/>
        <n v="760179"/>
        <n v="176765"/>
        <n v="844084"/>
        <n v="384357"/>
        <n v="812823"/>
        <n v="143876"/>
        <n v="915421"/>
        <n v="683656"/>
        <n v="589239"/>
        <n v="147021"/>
        <n v="454021"/>
        <n v="153569"/>
        <n v="716100"/>
        <n v="677847"/>
        <n v="576542"/>
        <n v="958203"/>
        <n v="795961"/>
        <n v="226122"/>
        <n v="442054"/>
        <n v="840107"/>
        <n v="464852"/>
        <n v="935210"/>
        <n v="215800"/>
        <n v="255389"/>
        <n v="422440"/>
        <n v="196221"/>
        <n v="577735"/>
        <n v="576404"/>
        <n v="367682"/>
        <n v="146509"/>
        <n v="980247"/>
        <n v="494955"/>
        <n v="259606"/>
        <n v="169959"/>
        <n v="590639"/>
        <n v="229213"/>
        <n v="898545"/>
        <n v="120522"/>
        <n v="449865"/>
        <n v="361770"/>
        <n v="241011"/>
        <n v="834172"/>
        <n v="199365"/>
        <n v="844468"/>
        <n v="832687"/>
        <n v="979651"/>
        <n v="262350"/>
        <n v="435819"/>
        <n v="562984"/>
        <n v="417445"/>
        <n v="488770"/>
        <n v="960757"/>
        <n v="871073"/>
        <n v="653007"/>
        <n v="871470"/>
        <n v="402154"/>
        <n v="846403"/>
        <n v="686587"/>
        <n v="220814"/>
        <n v="344576"/>
        <n v="361579"/>
        <n v="741641"/>
        <n v="238769"/>
        <n v="209986"/>
        <n v="641161"/>
        <n v="872589"/>
        <n v="948519"/>
        <n v="858967"/>
        <n v="270844"/>
        <n v="476945"/>
        <n v="236726"/>
        <n v="694183"/>
        <n v="330358"/>
        <n v="326569"/>
        <n v="621058"/>
        <n v="812718"/>
        <n v="430366"/>
        <n v="229410"/>
        <n v="542324"/>
        <n v="752945"/>
        <n v="632925"/>
        <n v="901323"/>
        <n v="138414"/>
        <n v="687854"/>
        <n v="662303"/>
        <n v="404554"/>
        <n v="460499"/>
        <n v="473632"/>
        <n v="658491"/>
        <n v="802597"/>
        <n v="226589"/>
        <n v="682257"/>
        <n v="245125"/>
        <n v="331548"/>
        <n v="906625"/>
        <n v="120620"/>
        <n v="698862"/>
        <n v="543738"/>
        <n v="642393"/>
        <n v="641484"/>
        <n v="433408"/>
        <n v="193140"/>
        <n v="844339"/>
        <n v="831831"/>
        <n v="886995"/>
        <n v="654070"/>
        <n v="964909"/>
        <n v="926747"/>
        <n v="515590"/>
        <n v="556707"/>
        <n v="130716"/>
        <n v="463965"/>
        <n v="966769"/>
        <n v="894381"/>
        <n v="625173" u="1"/>
        <n v="415189" u="1"/>
        <n v="313412" u="1"/>
        <n v="217634" u="1"/>
        <n v="894754" u="1"/>
        <n v="285906" u="1"/>
        <n v="674695" u="1"/>
        <n v="718712" u="1"/>
        <n v="647193" u="1"/>
        <n v="894761" u="1"/>
        <n v="542666" u="1"/>
        <n v="905767" u="1"/>
        <n v="845255" u="1"/>
        <n v="971790" u="1"/>
        <n v="652704" u="1"/>
        <n v="740737" u="1"/>
        <n v="343685" u="1"/>
        <n v="784756" u="1"/>
        <n v="559197" u="1"/>
        <n v="531691" u="1"/>
        <n v="735250" u="1"/>
        <n v="757256" u="1"/>
        <n v="500485" u="1"/>
        <n v="658233" u="1"/>
        <n v="845287" u="1"/>
        <n v="401461" u="1"/>
        <n v="120032" u="1"/>
        <n v="861794" u="1"/>
        <n v="144752" u="1"/>
        <n v="850793" u="1"/>
        <n v="993833" u="1"/>
        <n v="316190" u="1"/>
        <n v="636238" u="1"/>
        <n v="949824" u="1"/>
        <n v="680253" u="1"/>
        <n v="823292" u="1"/>
        <n v="489490" u="1"/>
        <n v="790286" u="1"/>
        <n v="867309" u="1"/>
        <n v="608743" u="1"/>
        <n v="933337" u="1"/>
        <n v="511504" u="1"/>
        <n v="437234" u="1"/>
        <n v="456491" u="1"/>
        <n v="586750" u="1"/>
        <n v="933347" u="1"/>
        <n v="161265" u="1"/>
        <n v="514260" u="1"/>
        <n v="428987" u="1"/>
        <n v="316207" u="1"/>
        <n v="603262" u="1"/>
        <n v="417988" u="1"/>
        <n v="417991" u="1"/>
        <n v="249293" u="1"/>
        <n v="354725" u="1"/>
        <n v="878351" u="1"/>
        <n v="245168" u="1"/>
        <n v="768325" u="1"/>
        <n v="335472" u="1"/>
        <n v="603284" u="1"/>
        <n v="216288" u="1"/>
        <n v="696816" u="1"/>
        <n v="231419" u="1"/>
        <n v="360238" u="1"/>
        <n v="927888" u="1"/>
        <n v="489525" u="1"/>
        <n v="625313" u="1"/>
        <n v="773858" u="1"/>
        <n v="365747" u="1"/>
        <n v="647326" u="1"/>
        <n v="812371" u="1"/>
        <n v="263970" u="1"/>
        <n v="346493" u="1"/>
        <n v="784866" u="1"/>
        <n v="641829" u="1"/>
        <n v="254806" u="1"/>
        <n v="718861" u="1"/>
        <n v="548316" u="1"/>
        <n v="570327" u="1"/>
        <n v="861908" u="1"/>
        <n v="542823" u="1"/>
        <n v="269484" u="1"/>
        <n v="960939" u="1"/>
        <n v="834405" u="1"/>
        <n v="349257" u="1"/>
        <n v="164037" u="1"/>
        <n v="581339" u="1"/>
        <n v="495048" u="1"/>
        <n v="955443" u="1"/>
        <n v="511555" u="1"/>
        <n v="850921" u="1"/>
        <n v="274995" u="1"/>
        <n v="834425" u="1"/>
        <n v="636382" u="1"/>
        <n v="159919" u="1"/>
        <n v="713406" u="1"/>
        <n v="343773" u="1"/>
        <n v="900461" u="1"/>
        <n v="839947" u="1"/>
        <n v="128992" u="1"/>
        <n v="790435" u="1"/>
        <n v="971988" u="1"/>
        <n v="828950" u="1"/>
        <n v="812447" u="1"/>
        <n v="988495" u="1"/>
        <n v="275011" u="1"/>
        <n v="669410" u="1"/>
        <n v="184681" u="1"/>
        <n v="779445" u="1"/>
        <n v="790451" u="1"/>
        <n v="264014" u="1"/>
        <n v="806960" u="1"/>
        <n v="823468" u="1"/>
        <n v="202565" u="1"/>
        <n v="839979" u="1"/>
        <n v="630928" u="1"/>
        <n v="641931" u="1"/>
        <n v="151678" u="1"/>
        <n v="235576" u="1"/>
        <n v="291533" u="1"/>
        <n v="228701" u="1"/>
        <n v="132425" u="1"/>
        <n v="321794" u="1"/>
        <n v="911517" u="1"/>
        <n v="319045" u="1"/>
        <n v="548423" u="1"/>
        <n v="702469" u="1"/>
        <n v="922531" u="1"/>
        <n v="445584" u="1"/>
        <n v="473092" u="1"/>
        <n v="497850" u="1"/>
        <n v="674970" u="1"/>
        <n v="762995" u="1"/>
        <n v="467594" u="1"/>
        <n v="614456" u="1"/>
        <n v="718988" u="1"/>
        <n v="751997" u="1"/>
        <n v="884034" u="1"/>
        <n v="330060" u="1"/>
        <n v="922547" u="1"/>
        <n v="856534" u="1"/>
        <n v="608967" u="1"/>
        <n v="519865" u="1"/>
        <n v="829029" u="1"/>
        <n v="619974" u="1"/>
        <n v="862042" u="1"/>
        <n v="393337" u="1"/>
        <n v="686011" u="1"/>
        <n v="928081" u="1"/>
        <n v="146196" u="1"/>
        <n v="360338" u="1"/>
        <n v="900583" u="1"/>
        <n v="146198" u="1"/>
        <n v="625513" u="1"/>
        <n v="581504" u="1"/>
        <n v="286079" u="1"/>
        <n v="238352" u="1"/>
        <n v="906106" u="1"/>
        <n v="669544" u="1"/>
        <n v="669545" u="1"/>
        <n v="922614" u="1"/>
        <n v="202594" u="1"/>
        <n v="686053" u="1"/>
        <n v="917117" u="1"/>
        <n v="440127" u="1"/>
        <n v="503395" u="1"/>
        <n v="686059" u="1"/>
        <n v="840102" u="1"/>
        <n v="708068" u="1"/>
        <n v="486893" u="1"/>
        <n v="221854" u="1"/>
        <n v="961146" u="1"/>
        <n v="508904" u="1"/>
        <n v="966650" u="1"/>
        <n v="779601" u="1"/>
        <n v="434637" u="1"/>
        <n v="294350" u="1"/>
        <n v="999667" u="1"/>
        <n v="346615" u="1"/>
        <n v="396131" u="1"/>
        <n v="508912" u="1"/>
        <n v="669586" u="1"/>
        <n v="669588" u="1"/>
        <n v="691594" u="1"/>
        <n v="481408" u="1"/>
        <n v="598072" u="1"/>
        <n v="478660" u="1"/>
        <n v="462156" u="1"/>
        <n v="598078" u="1"/>
        <n v="277856" u="1"/>
        <n v="911664" u="1"/>
        <n v="526563" u="1"/>
        <n v="221864" u="1"/>
        <n v="470414" u="1"/>
        <n v="873165" u="1"/>
        <n v="680619" u="1"/>
        <n v="944691" u="1"/>
        <n v="757641" u="1"/>
        <n v="790651" u="1"/>
        <n v="763145" u="1"/>
        <n v="625609" u="1"/>
        <n v="192985" u="1"/>
        <n v="199862" u="1"/>
        <n v="972217" u="1"/>
        <n v="972220" u="1"/>
        <n v="724654" u="1"/>
        <n v="327391" u="1"/>
        <n v="972224" u="1"/>
        <n v="840197" u="1"/>
        <n v="514447" u="1"/>
        <n v="514448" u="1"/>
        <n v="445680" u="1"/>
        <n v="360407" u="1"/>
        <n v="118021" u="1"/>
        <n v="961242" u="1"/>
        <n v="746684" u="1"/>
        <n v="955743" u="1"/>
        <n v="752188" u="1"/>
        <n v="922735" u="1"/>
        <n v="537637" u="1"/>
        <n v="581651" u="1"/>
        <n v="862231" u="1"/>
        <n v="609167" u="1"/>
        <n v="382430" u="1"/>
        <n v="216385" u="1"/>
        <n v="570671" u="1"/>
        <n v="818240" u="1"/>
        <n v="412695" u="1"/>
        <n v="873258" u="1"/>
        <n v="642196" u="1"/>
        <n v="511724" u="1"/>
        <n v="319172" u="1"/>
        <n v="431956" u="1"/>
        <n v="576189" u="1"/>
        <n v="321927" u="1"/>
        <n v="614702" u="1"/>
        <n v="537683" u="1"/>
        <n v="188884" u="1"/>
        <n v="840271" u="1"/>
        <n v="245275" u="1"/>
        <n v="576201" u="1"/>
        <n v="484227" u="1"/>
        <n v="944809" u="1"/>
        <n v="840285" u="1"/>
        <n v="497988" u="1"/>
        <n v="130410" u="1"/>
        <n v="382459" u="1"/>
        <n v="143503" u="1"/>
        <n v="785291" u="1"/>
        <n v="187519" u="1"/>
        <n v="609249" u="1"/>
        <n v="790799" u="1"/>
        <n v="177892" u="1"/>
        <n v="459490" u="1"/>
        <n v="790801" u="1"/>
        <n v="977853" u="1"/>
        <n v="939345" u="1"/>
        <n v="272442" u="1"/>
        <n v="977858" u="1"/>
        <n v="467746" u="1"/>
        <n v="966857" u="1"/>
        <n v="532245" u="1"/>
        <n v="537748" u="1"/>
        <n v="239789" u="1"/>
        <n v="182024" u="1"/>
        <n v="840340" u="1"/>
        <n v="177899" u="1"/>
        <n v="432001" u="1"/>
        <n v="653300" u="1"/>
        <n v="840351" u="1"/>
        <n v="796340" u="1"/>
        <n v="204035" u="1"/>
        <n v="180654" u="1"/>
        <n v="592791" u="1"/>
        <n v="448510" u="1"/>
        <n v="199910" u="1"/>
        <n v="669815" u="1"/>
        <n v="642310" u="1"/>
        <n v="120792" u="1"/>
        <n v="614808" u="1"/>
        <n v="341236" u="1"/>
        <n v="465020" u="1"/>
        <n v="139397" u="1"/>
        <n v="735848" u="1"/>
        <n v="603821" u="1"/>
        <n v="390758" u="1"/>
        <n v="248055" u="1"/>
        <n v="357750" u="1"/>
        <n v="346750" u="1"/>
        <n v="283483" u="1"/>
        <n v="208171" u="1"/>
        <n v="598331" u="1"/>
        <n v="187541" u="1"/>
        <n v="294491" u="1"/>
        <n v="702869" u="1"/>
        <n v="227429" u="1"/>
        <n v="432031" u="1"/>
        <n v="686369" u="1"/>
        <n v="950441" u="1"/>
        <n v="724880" u="1"/>
        <n v="122861" u="1"/>
        <n v="862421" u="1"/>
        <n v="346761" u="1"/>
        <n v="445788" u="1"/>
        <n v="944950" u="1"/>
        <n v="407281" u="1"/>
        <n v="311007" u="1"/>
        <n v="283501" u="1"/>
        <n v="708403" u="1"/>
        <n v="719412" u="1"/>
        <n v="537863" u="1"/>
        <n v="807437" u="1"/>
        <n v="812939" u="1"/>
        <n v="625891" u="1"/>
        <n v="972487" u="1"/>
        <n v="796443" u="1"/>
        <n v="429303" u="1"/>
        <n v="972492" u="1"/>
        <n v="209562" u="1"/>
        <n v="559882" u="1"/>
        <n v="160049" u="1"/>
        <n v="680918" u="1"/>
        <n v="338532" u="1"/>
        <n v="548886" u="1"/>
        <n v="115303" u="1"/>
        <n v="269766" u="1"/>
        <n v="366043" u="1"/>
        <n v="653420" u="1"/>
        <n v="360542" u="1"/>
        <n v="341287" u="1"/>
        <n v="961506" u="1"/>
        <n v="432065" u="1"/>
        <n v="779962" u="1"/>
        <n v="823976" u="1"/>
        <n v="697442" u="1"/>
        <n v="912004" u="1"/>
        <n v="829487" u="1"/>
        <n v="368805" u="1"/>
        <n v="543412" u="1"/>
        <n v="231578" u="1"/>
        <n v="313799" u="1"/>
        <n v="746988" u="1"/>
        <n v="169690" u="1"/>
        <n v="115998" u="1"/>
        <n v="620466" u="1"/>
        <n v="829524" u="1"/>
        <n v="195826" u="1"/>
        <n v="115311" u="1"/>
        <n v="950564" u="1"/>
        <n v="636980" u="1"/>
        <n v="215084" u="1"/>
        <n v="548964" u="1"/>
        <n v="592976" u="1"/>
        <n v="813038" u="1"/>
        <n v="658999" u="1"/>
        <n v="543472" u="1"/>
        <n v="338577" u="1"/>
        <n v="692015" u="1"/>
        <n v="532472" u="1"/>
        <n v="917579" u="1"/>
        <n v="440358" u="1"/>
        <n v="165576" u="1"/>
        <n v="415603" u="1"/>
        <n v="429358" u="1"/>
        <n v="659021" u="1"/>
        <n v="467875" u="1"/>
        <n v="989120" u="1"/>
        <n v="576510" u="1"/>
        <n v="785568" u="1"/>
        <n v="989126" u="1"/>
        <n v="261860" u="1"/>
        <n v="169710" u="1"/>
        <n v="261861" u="1"/>
        <n v="158708" u="1"/>
        <n v="884613" u="1"/>
        <n v="939628" u="1"/>
        <n v="532520" u="1"/>
        <n v="300092" u="1"/>
        <n v="275339" u="1"/>
        <n v="840614" u="1"/>
        <n v="500905" u="1"/>
        <n v="113260" u="1"/>
        <n v="752604" u="1"/>
        <n v="670083" u="1"/>
        <n v="489910" u="1"/>
        <n v="670094" u="1"/>
        <n v="242617" u="1"/>
        <n v="620586" u="1"/>
        <n v="223364" u="1"/>
        <n v="165599" u="1"/>
        <n v="451409" u="1"/>
        <n v="289115" u="1"/>
        <n v="538076" u="1"/>
        <n v="249498" u="1"/>
        <n v="495423" u="1"/>
        <n v="851670" u="1"/>
        <n v="692128" u="1"/>
        <n v="945197" u="1"/>
        <n v="763653" u="1"/>
        <n v="522941" u="1"/>
        <n v="357898" u="1"/>
        <n v="360649" u="1"/>
        <n v="653639" u="1"/>
        <n v="506442" u="1"/>
        <n v="571120" u="1"/>
        <n v="774676" u="1"/>
        <n v="626138" u="1"/>
        <n v="426673" u="1"/>
        <n v="208247" u="1"/>
        <n v="769181" u="1"/>
        <n v="917722" u="1"/>
        <n v="818698" u="1"/>
        <n v="382666" u="1"/>
        <n v="560134" u="1"/>
        <n v="396422" u="1"/>
        <n v="802207" u="1"/>
        <n v="818713" u="1"/>
        <n v="123587" u="1"/>
        <n v="374421" u="1"/>
        <n v="554645" u="1"/>
        <n v="330411" u="1"/>
        <n v="752703" u="1"/>
        <n v="725198" u="1"/>
        <n v="374427" u="1"/>
        <n v="703201" u="1"/>
        <n v="421193" u="1"/>
        <n v="824241" u="1"/>
        <n v="791241" u="1"/>
        <n v="255024" u="1"/>
        <n v="994799" u="1"/>
        <n v="399196" u="1"/>
        <n v="659209" u="1"/>
        <n v="895780" u="1"/>
        <n v="631713" u="1"/>
        <n v="245400" u="1"/>
        <n v="774754" u="1"/>
        <n v="194512" u="1"/>
        <n v="470726" u="1"/>
        <n v="158754" u="1"/>
        <n v="901299" u="1"/>
        <n v="175259" u="1"/>
        <n v="956319" u="1"/>
        <n v="807785" u="1"/>
        <n v="802285" u="1"/>
        <n v="763776" u="1"/>
        <n v="934324" u="1"/>
        <n v="503745" u="1"/>
        <n v="211024" u="1"/>
        <n v="890324" u="1"/>
        <n v="498250" u="1"/>
        <n v="967347" u="1"/>
        <n v="235783" u="1"/>
        <n v="138132" u="1"/>
        <n v="363467" u="1"/>
        <n v="818815" u="1"/>
        <n v="659272" u="1"/>
        <n v="873833" u="1"/>
        <n v="255041" u="1"/>
        <n v="434989" u="1"/>
        <n v="763805" u="1"/>
        <n v="846333" u="1"/>
        <n v="972880" u="1"/>
        <n v="211036" u="1"/>
        <n v="324973" u="1"/>
        <n v="901370" u="1"/>
        <n v="404746" u="1"/>
        <n v="736327" u="1"/>
        <n v="355233" u="1"/>
        <n v="923380" u="1"/>
        <n v="565787" u="1"/>
        <n v="476270" u="1"/>
        <n v="429510" u="1"/>
        <n v="454267" u="1"/>
        <n v="725341" u="1"/>
        <n v="824368" u="1"/>
        <n v="934399" u="1"/>
        <n v="653825" u="1"/>
        <n v="708841" u="1"/>
        <n v="145025" u="1"/>
        <n v="404760" u="1"/>
        <n v="149152" u="1"/>
        <n v="349746" u="1"/>
        <n v="509293" u="1"/>
        <n v="167035" u="1"/>
        <n v="479038" u="1"/>
        <n v="609837" u="1"/>
        <n v="549321" u="1"/>
        <n v="291991" u="1"/>
        <n v="248185" u="1"/>
        <n v="338756" u="1"/>
        <n v="175291" u="1"/>
        <n v="388270" u="1"/>
        <n v="582343" u="1"/>
        <n v="615353" u="1"/>
        <n v="549337" u="1"/>
        <n v="278243" u="1"/>
        <n v="260566" u="1"/>
        <n v="950949" u="1"/>
        <n v="501056" u="1"/>
        <n v="305753" u="1"/>
        <n v="785909" u="1"/>
        <n v="961957" u="1"/>
        <n v="517563" u="1"/>
        <n v="255067" u="1"/>
        <n v="289253" u="1"/>
        <n v="206930" u="1"/>
        <n v="719903" u="1"/>
        <n v="813432" u="1"/>
        <n v="736412" u="1"/>
        <n v="509319" u="1"/>
        <n v="173924" u="1"/>
        <n v="967482" u="1"/>
        <n v="593385" u="1"/>
        <n v="121553" u="1"/>
        <n v="972993" u="1"/>
        <n v="319524" u="1"/>
        <n v="807956" u="1"/>
        <n v="286521" u="1"/>
        <n v="956506" u="1"/>
        <n v="468073" u="1"/>
        <n v="659426" u="1"/>
        <n v="571410" u="1"/>
        <n v="791470" u="1"/>
        <n v="763975" u="1"/>
        <n v="807989" u="1"/>
        <n v="245457" u="1"/>
        <n v="186316" u="1"/>
        <n v="945535" u="1"/>
        <n v="512102" u="1"/>
        <n v="852024" u="1"/>
        <n v="520362" u="1"/>
        <n v="115373" u="1"/>
        <n v="857531" u="1"/>
        <n v="448844" u="1"/>
        <n v="736499" u="1"/>
        <n v="973065" u="1"/>
        <n v="747505" u="1"/>
        <n v="769512" u="1"/>
        <n v="338818" u="1"/>
        <n v="538455" u="1"/>
        <n v="576968" u="1"/>
        <n v="213834" u="1"/>
        <n v="355327" u="1"/>
        <n v="962088" u="1"/>
        <n v="538474" u="1"/>
        <n v="560483" u="1"/>
        <n v="457113" u="1"/>
        <n v="632005" u="1"/>
        <n v="791549" u="1"/>
        <n v="978603" u="1"/>
        <n v="142321" u="1"/>
        <n v="835567" u="1"/>
        <n v="582503" u="1"/>
        <n v="186335" u="1"/>
        <n v="984117" u="1"/>
        <n v="654028" u="1"/>
        <n v="934607" u="1"/>
        <n v="764068" u="1"/>
        <n v="923613" u="1"/>
        <n v="164333" u="1"/>
        <n v="599026" u="1"/>
        <n v="736564" u="1"/>
        <n v="632036" u="1"/>
        <n v="802583" u="1"/>
        <n v="182215" u="1"/>
        <n v="852105" u="1"/>
        <n v="599037" u="1"/>
        <n v="698065" u="1"/>
        <n v="327850" u="1"/>
        <n v="514902" u="1"/>
        <n v="512152" u="1"/>
        <n v="311348" u="1"/>
        <n v="769592" u="1"/>
        <n v="923637" u="1"/>
        <n v="538533" u="1"/>
        <n v="621056" u="1"/>
        <n v="479147" u="1"/>
        <n v="747594" u="1"/>
        <n v="896137" u="1"/>
        <n v="934648" u="1"/>
        <n v="135458" u="1"/>
        <n v="162966" u="1"/>
        <n v="404882" u="1"/>
        <n v="967663" u="1"/>
        <n v="473652" u="1"/>
        <n v="769614" u="1"/>
        <n v="874144" u="1"/>
        <n v="692595" u="1"/>
        <n v="775127" u="1"/>
        <n v="670600" u="1"/>
        <n v="429652" u="1"/>
        <n v="305870" u="1"/>
        <n v="879670" u="1"/>
        <n v="246873" u="1"/>
        <n v="731133" u="1"/>
        <n v="219367" u="1"/>
        <n v="344389" u="1"/>
        <n v="465424" u="1"/>
        <n v="786164" u="1"/>
        <n v="349893" u="1"/>
        <n v="297629" u="1"/>
        <n v="294879" u="1"/>
        <n v="544103" u="1"/>
        <n v="643134" u="1"/>
        <n v="154730" u="1"/>
        <n v="676146" u="1"/>
        <n v="253759" u="1"/>
        <n v="184991" u="1"/>
        <n v="533121" u="1"/>
        <n v="173992" u="1"/>
        <n v="566143" u="1"/>
        <n v="731189" u="1"/>
        <n v="226257" u="1"/>
        <n v="714686" u="1"/>
        <n v="780706" u="1"/>
        <n v="171243" u="1"/>
        <n v="813718" u="1"/>
        <n v="610164" u="1"/>
        <n v="338914" u="1"/>
        <n v="429689" u="1"/>
        <n v="272899" u="1"/>
        <n v="923760" u="1"/>
        <n v="610180" u="1"/>
        <n v="857748" u="1"/>
        <n v="219386" u="1"/>
        <n v="224889" u="1"/>
        <n v="808243" u="1"/>
        <n v="885264" u="1"/>
        <n v="621193" u="1"/>
        <n v="257899" u="1"/>
        <n v="791741" u="1"/>
        <n v="241395" u="1"/>
        <n v="402196" u="1"/>
        <n v="218014" u="1"/>
        <n v="797249" u="1"/>
        <n v="560685" u="1"/>
        <n v="687220" u="1"/>
        <n v="764242" u="1"/>
        <n v="245523" u="1"/>
        <n v="429707" u="1"/>
        <n v="440711" u="1"/>
        <n v="874277" u="1"/>
        <n v="255152" u="1"/>
        <n v="588203" u="1"/>
        <n v="140997" u="1"/>
        <n v="989814" u="1"/>
        <n v="544196" u="1"/>
        <n v="451721" u="1"/>
        <n v="165756" u="1"/>
        <n v="468227" u="1"/>
        <n v="703748" u="1"/>
        <n v="643233" u="1"/>
        <n v="205644" u="1"/>
        <n v="852296" u="1"/>
        <n v="934822" u="1"/>
        <n v="615737" u="1"/>
        <n v="934827" u="1"/>
        <n v="874317" u="1"/>
        <n v="857813" u="1"/>
        <n v="244159" u="1"/>
        <n v="391219" u="1"/>
        <n v="512252" u="1"/>
        <n v="443484" u="1"/>
        <n v="560738" u="1"/>
        <n v="124349" u="1"/>
        <n v="934841" u="1"/>
        <n v="495751" u="1"/>
        <n v="813810" u="1"/>
        <n v="907337" u="1"/>
        <n v="769802" u="1"/>
        <n v="322459" u="1"/>
        <n v="432490" u="1"/>
        <n v="446246" u="1"/>
        <n v="758811" u="1"/>
        <n v="868844" u="1"/>
        <n v="211157" u="1"/>
        <n v="314212" u="1"/>
        <n v="462753" u="1"/>
        <n v="555260" u="1"/>
        <n v="154768" u="1"/>
        <n v="305963" u="1"/>
        <n v="319719" u="1"/>
        <n v="429749" u="1"/>
        <n v="709319" u="1"/>
        <n v="512277" u="1"/>
        <n v="377492" u="1"/>
        <n v="890880" u="1"/>
        <n v="896384" u="1"/>
        <n v="194661" u="1"/>
        <n v="945900" u="1"/>
        <n v="896387" u="1"/>
        <n v="610310" u="1"/>
        <n v="278473" u="1"/>
        <n v="560802" u="1"/>
        <n v="327987" u="1"/>
        <n v="566306" u="1"/>
        <n v="593814" u="1"/>
        <n v="509540" u="1"/>
        <n v="294982" u="1"/>
        <n v="923910" u="1"/>
        <n v="515043" u="1"/>
        <n v="213921" u="1"/>
        <n v="841390" u="1"/>
        <n v="509543" u="1"/>
        <n v="391261" u="1"/>
        <n v="747871" u="1"/>
        <n v="571828" u="1"/>
        <n v="297740" u="1"/>
        <n v="819398" u="1"/>
        <n v="391267" u="1"/>
        <n v="874415" u="1"/>
        <n v="115421" u="1"/>
        <n v="560834" u="1"/>
        <n v="305997" u="1"/>
        <n v="416027" u="1"/>
        <n v="626861" u="1"/>
        <n v="149286" u="1"/>
        <n v="182295" u="1"/>
        <n v="211178" u="1"/>
        <n v="504056" u="1"/>
        <n v="457296" u="1"/>
        <n v="753406" u="1"/>
        <n v="165794" u="1"/>
        <n v="967969" u="1"/>
        <n v="967970" u="1"/>
        <n v="863442" u="1"/>
        <n v="402286" u="1"/>
        <n v="769921" u="1"/>
        <n v="643393" u="1"/>
        <n v="923970" u="1"/>
        <n v="341777" u="1"/>
        <n v="171300" u="1"/>
        <n v="632396" u="1"/>
        <n v="363785" u="1"/>
        <n v="758934" u="1"/>
        <n v="940488" u="1"/>
        <n v="330780" u="1"/>
        <n v="956998" u="1"/>
        <n v="786452" u="1"/>
        <n v="306025" u="1"/>
        <n v="248326" u="1"/>
        <n v="648921" u="1"/>
        <n v="138298" u="1"/>
        <n v="544402" u="1"/>
        <n v="339043" u="1"/>
        <n v="946016" u="1"/>
        <n v="523345" u="1"/>
        <n v="158931" u="1"/>
        <n v="962525" u="1"/>
        <n v="665445" u="1"/>
        <n v="377558" u="1"/>
        <n v="215323" u="1"/>
        <n v="736968" u="1"/>
        <n v="791983" u="1"/>
        <n v="813991" u="1"/>
        <n v="427074" u="1"/>
        <n v="670955" u="1"/>
        <n v="632445" u="1"/>
        <n v="208448" u="1"/>
        <n v="549926" u="1"/>
        <n v="319798" u="1"/>
        <n v="484843" u="1"/>
        <n v="885518" u="1"/>
        <n v="885522" u="1"/>
        <n v="747988" u="1"/>
        <n v="792002" u="1"/>
        <n v="509606" u="1"/>
        <n v="924044" u="1"/>
        <n v="681979" u="1"/>
        <n v="457345" u="1"/>
        <n v="913045" u="1"/>
        <n v="935051" u="1"/>
        <n v="637972" u="1"/>
        <n v="665482" u="1"/>
        <n v="399582" u="1"/>
        <n v="306057" u="1"/>
        <n v="366574" u="1"/>
        <n v="114061" u="1"/>
        <n v="380329" u="1"/>
        <n v="533451" u="1"/>
        <n v="241466" u="1"/>
        <n v="341821" u="1"/>
        <n v="874549" u="1"/>
        <n v="333570" u="1"/>
        <n v="874554" u="1"/>
        <n v="504120" u="1"/>
        <n v="682010" u="1"/>
        <n v="172701" u="1"/>
        <n v="237344" u="1"/>
        <n v="649010" u="1"/>
        <n v="792050" u="1"/>
        <n v="654513" u="1"/>
        <n v="533486" u="1"/>
        <n v="687532" u="1"/>
        <n v="605011" u="1"/>
        <n v="841577" u="1"/>
        <n v="940604" u="1"/>
        <n v="616020" u="1"/>
        <n v="465627" u="1"/>
        <n v="654536" u="1"/>
        <n v="737059" u="1"/>
        <n v="858096" u="1"/>
        <n v="841597" u="1"/>
        <n v="457384" u="1"/>
        <n v="599543" u="1"/>
        <n v="528024" u="1"/>
        <n v="836108" u="1"/>
        <n v="372115" u="1"/>
        <n v="363863" u="1"/>
        <n v="720587" u="1"/>
        <n v="418883" u="1"/>
        <n v="825119" u="1"/>
        <n v="208478" u="1"/>
        <n v="935150" u="1"/>
        <n v="797616" u="1"/>
        <n v="720600" u="1"/>
        <n v="913155" u="1"/>
        <n v="186475" u="1"/>
        <n v="913161" u="1"/>
        <n v="224989" u="1"/>
        <n v="157597" u="1"/>
        <n v="940683" u="1"/>
        <n v="627102" u="1"/>
        <n v="402398" u="1"/>
        <n v="973701" u="1"/>
        <n v="874682" u="1"/>
        <n v="484927" u="1"/>
        <n v="190611" u="1"/>
        <n v="230497" u="1"/>
        <n v="391404" u="1"/>
        <n v="737151" u="1"/>
        <n v="352894" u="1"/>
        <n v="819674" u="1"/>
        <n v="341895" u="1"/>
        <n v="168609" u="1"/>
        <n v="264876" u="1"/>
        <n v="295136" u="1"/>
        <n v="394163" u="1"/>
        <n v="237379" u="1"/>
        <n v="962730" u="1"/>
        <n v="185115" u="1"/>
        <n v="610638" u="1"/>
        <n v="654652" u="1"/>
        <n v="164486" u="1"/>
        <n v="528133" u="1"/>
        <n v="161739" u="1"/>
        <n v="918741" u="1"/>
        <n v="797709" u="1"/>
        <n v="588658" u="1"/>
        <n v="156240" u="1"/>
        <n v="174120" u="1"/>
        <n v="638175" u="1"/>
        <n v="946263" u="1"/>
        <n v="460201" u="1"/>
        <n v="715201" u="1"/>
        <n v="616178" u="1"/>
        <n v="880250" u="1"/>
        <n v="676697" u="1"/>
        <n v="737217" u="1"/>
        <n v="446456" u="1"/>
        <n v="479465" u="1"/>
        <n v="152120" u="1"/>
        <n v="539178" u="1"/>
        <n v="726230" u="1"/>
        <n v="704225" u="1"/>
        <n v="512479" u="1"/>
        <n v="222267" u="1"/>
        <n v="479474" u="1"/>
        <n v="786757" u="1"/>
        <n v="643721" u="1"/>
        <n v="891291" u="1"/>
        <n v="973815" u="1"/>
        <n v="223646" u="1"/>
        <n v="193388" u="1"/>
        <n v="704243" u="1"/>
        <n v="819775" u="1"/>
        <n v="460226" u="1"/>
        <n v="869296" u="1"/>
        <n v="355703" u="1"/>
        <n v="284184" u="1"/>
        <n v="429975" u="1"/>
        <n v="825296" u="1"/>
        <n v="676758" u="1"/>
        <n v="753780" u="1"/>
        <n v="273187" u="1"/>
        <n v="973847" u="1"/>
        <n v="803301" u="1"/>
        <n v="676767" u="1"/>
        <n v="336456" u="1"/>
        <n v="273190" u="1"/>
        <n v="913338" u="1"/>
        <n v="990359" u="1"/>
        <n v="533736" u="1"/>
        <n v="204401" u="1"/>
        <n v="270442" u="1"/>
        <n v="183771" u="1"/>
        <n v="621763" u="1"/>
        <n v="858331" u="1"/>
        <n v="369472" u="1"/>
        <n v="380475" u="1"/>
        <n v="385977" u="1"/>
        <n v="731799" u="1"/>
        <n v="170019" u="1"/>
        <n v="957362" u="1"/>
        <n v="493258" u="1"/>
        <n v="907855" u="1"/>
        <n v="638282" u="1"/>
        <n v="270452" u="1"/>
        <n v="179650" u="1"/>
        <n v="649292" u="1"/>
        <n v="748319" u="1"/>
        <n v="913365" u="1"/>
        <n v="808837" u="1"/>
        <n v="278707" u="1"/>
        <n v="643796" u="1"/>
        <n v="957387" u="1"/>
        <n v="638301" u="1"/>
        <n v="172777" u="1"/>
        <n v="935386" u="1"/>
        <n v="449263" u="1"/>
        <n v="654818" u="1"/>
        <n v="819863" u="1"/>
        <n v="665822" u="1"/>
        <n v="234672" u="1"/>
        <n v="682329" u="1"/>
        <n v="836374" u="1"/>
        <n v="852879" u="1"/>
        <n v="753854" u="1"/>
        <n v="594311" u="1"/>
        <n v="946407" u="1"/>
        <n v="262220" u="1"/>
        <n v="869390" u="1"/>
        <n v="979425" u="1"/>
        <n v="333743" u="1"/>
        <n v="383258" u="1"/>
        <n v="482288" u="1"/>
        <n v="168662" u="1"/>
        <n v="698865" u="1"/>
        <n v="698867" u="1"/>
        <n v="196171" u="1"/>
        <n v="281490" u="1"/>
        <n v="161788" u="1"/>
        <n v="460292" u="1"/>
        <n v="446539" u="1"/>
        <n v="457542" u="1"/>
        <n v="830921" u="1"/>
        <n v="528343" u="1"/>
        <n v="869438" u="1"/>
        <n v="405284" u="1"/>
        <n v="515314" u="1"/>
        <n v="742905" u="1"/>
        <n v="421789" u="1"/>
        <n v="863939" u="1"/>
        <n v="479556" u="1"/>
        <n v="704400" u="1"/>
        <n v="187926" u="1"/>
        <n v="358526" u="1"/>
        <n v="394286" u="1"/>
        <n v="504316" u="1"/>
        <n v="265003" u="1"/>
        <n v="465809" u="1"/>
        <n v="476814" u="1"/>
        <n v="161798" u="1"/>
        <n v="465813" u="1"/>
        <n v="715423" u="1"/>
        <n v="830957" u="1"/>
        <n v="819955" u="1"/>
        <n v="333781" u="1"/>
        <n v="979502" u="1"/>
        <n v="165927" u="1"/>
        <n v="203063" u="1"/>
        <n v="737443" u="1"/>
        <n v="880484" u="1"/>
        <n v="397054" u="1"/>
        <n v="262271" u="1"/>
        <n v="737455" u="1"/>
        <n v="366801" u="1"/>
        <n v="671440" u="1"/>
        <n v="979525" u="1"/>
        <n v="386058" u="1"/>
        <n v="720957" u="1"/>
        <n v="482335" u="1"/>
        <n v="852995" u="1"/>
        <n v="479587" u="1"/>
        <n v="468585" u="1"/>
        <n v="179689" u="1"/>
        <n v="211323" u="1"/>
        <n v="819995" u="1"/>
        <n v="171438" u="1"/>
        <n v="161811" u="1"/>
        <n v="836507" u="1"/>
        <n v="996052" u="1"/>
        <n v="273288" u="1"/>
        <n v="317302" u="1"/>
        <n v="759503" u="1"/>
        <n v="333813" u="1"/>
        <n v="588970" u="1"/>
        <n v="175573" u="1"/>
        <n v="594474" u="1"/>
        <n v="117563" u="1"/>
        <n v="170073" u="1"/>
        <n v="941082" u="1"/>
        <n v="891571" u="1"/>
        <n v="194833" u="1"/>
        <n v="523630" u="1"/>
        <n v="644006" u="1"/>
        <n v="814554" u="1"/>
        <n v="127881" u="1"/>
        <n v="693524" u="1"/>
        <n v="146697" u="1"/>
        <n v="383346" u="1"/>
        <n v="342085" u="1"/>
        <n v="842070" u="1"/>
        <n v="468621" u="1"/>
        <n v="611011" u="1"/>
        <n v="432863" u="1"/>
        <n v="253979" u="1"/>
        <n v="561502" u="1"/>
        <n v="803570" u="1"/>
        <n v="247103" u="1"/>
        <n v="699044" u="1"/>
        <n v="211344" u="1"/>
        <n v="123070" u="1"/>
        <n v="485133" u="1"/>
        <n v="952116" u="1"/>
        <n v="985125" u="1"/>
        <n v="446623" u="1"/>
        <n v="930111" u="1"/>
        <n v="402612" u="1"/>
        <n v="157706" u="1"/>
        <n v="726561" u="1"/>
        <n v="504395" u="1"/>
        <n v="627541" u="1"/>
        <n v="836599" u="1"/>
        <n v="902618" u="1"/>
        <n v="344853" u="1"/>
        <n v="550523" u="1"/>
        <n v="405371" u="1"/>
        <n v="682564" u="1"/>
        <n v="996152" u="1"/>
        <n v="897131" u="1"/>
        <n v="391624" u="1"/>
        <n v="561543" u="1"/>
        <n v="754105" u="1"/>
        <n v="644079" u="1"/>
        <n v="622077" u="1"/>
        <n v="770618" u="1"/>
        <n v="979676" u="1"/>
        <n v="699100" u="1"/>
        <n v="567065" u="1"/>
        <n v="677095" u="1"/>
        <n v="256746" u="1"/>
        <n v="578073" u="1"/>
        <n v="583576" u="1"/>
        <n v="270606" u="1"/>
        <n v="952180" u="1"/>
        <n v="589082" u="1"/>
        <n v="803643" u="1"/>
        <n v="449408" u="1"/>
        <n v="957690" u="1"/>
        <n v="583590" u="1"/>
        <n v="181105" u="1"/>
        <n v="996206" u="1"/>
        <n v="688128" u="1"/>
        <n v="331134" u="1"/>
        <n v="276121" u="1"/>
        <n v="743152" u="1"/>
        <n v="721149" u="1"/>
        <n v="476930" u="1"/>
        <n v="278880" u="1"/>
        <n v="660646" u="1"/>
        <n v="611135" u="1"/>
        <n v="311892" u="1"/>
        <n v="814691" u="1"/>
        <n v="424673" u="1"/>
        <n v="339400" u="1"/>
        <n v="875209" u="1"/>
        <n v="556124" u="1"/>
        <n v="644148" u="1"/>
        <n v="605639" u="1"/>
        <n v="776190" u="1"/>
        <n v="858713" u="1"/>
        <n v="479694" u="1"/>
        <n v="287142" u="1"/>
        <n v="765191" u="1"/>
        <n v="215502" u="1"/>
        <n v="759691" u="1"/>
        <n v="258139" u="1"/>
        <n v="460441" u="1"/>
        <n v="397175" u="1"/>
        <n v="847720" u="1"/>
        <n v="814716" u="1"/>
        <n v="454944" u="1"/>
        <n v="150863" u="1"/>
        <n v="594660" u="1"/>
        <n v="886240" u="1"/>
        <n v="289901" u="1"/>
        <n v="399931" u="1"/>
        <n v="383427" u="1"/>
        <n v="333914" u="1"/>
        <n v="479705" u="1"/>
        <n v="317411" u="1"/>
        <n v="194877" u="1"/>
        <n v="375180" u="1"/>
        <n v="798229" u="1"/>
        <n v="605678" u="1"/>
        <n v="655193" u="1"/>
        <n v="369683" u="1"/>
        <n v="567174" u="1"/>
        <n v="578179" u="1"/>
        <n v="572681" u="1"/>
        <n v="611192" u="1"/>
        <n v="682716" u="1"/>
        <n v="143995" u="1"/>
        <n v="743238" u="1"/>
        <n v="273415" u="1"/>
        <n v="682724" u="1"/>
        <n v="219642" u="1"/>
        <n v="803762" u="1"/>
        <n v="974309" u="1"/>
        <n v="935800" u="1"/>
        <n v="485228" u="1"/>
        <n v="317433" u="1"/>
        <n v="221020" u="1"/>
        <n v="974316" u="1"/>
        <n v="968816" u="1"/>
        <n v="438472" u="1"/>
        <n v="287181" u="1"/>
        <n v="145378" u="1"/>
        <n v="468734" u="1"/>
        <n v="243031" u="1"/>
        <n v="765278" u="1"/>
        <n v="234779" u="1"/>
        <n v="375212" u="1"/>
        <n v="968842" u="1"/>
        <n v="267935" u="1"/>
        <n v="178391" u="1"/>
        <n v="225154" u="1"/>
        <n v="600245" u="1"/>
        <n v="985350" u="1"/>
        <n v="289944" u="1"/>
        <n v="913834" u="1"/>
        <n v="496251" u="1"/>
        <n v="770798" u="1"/>
        <n v="842320" u="1"/>
        <n v="523762" u="1"/>
        <n v="913848" u="1"/>
        <n v="339466" u="1"/>
        <n v="397234" u="1"/>
        <n v="919358" u="1"/>
        <n v="186651" u="1"/>
        <n v="611282" u="1"/>
        <n v="902864" u="1"/>
        <n v="193531" u="1"/>
        <n v="353231" u="1"/>
        <n v="655303" u="1"/>
        <n v="194907" u="1"/>
        <n v="611295" u="1"/>
        <n v="704821" u="1"/>
        <n v="616801" u="1"/>
        <n v="556289" u="1"/>
        <n v="660822" u="1"/>
        <n v="671825" u="1"/>
        <n v="759849" u="1"/>
        <n v="567303" u="1"/>
        <n v="611319" u="1"/>
        <n v="367002" u="1"/>
        <n v="737860" u="1"/>
        <n v="134400" u="1"/>
        <n v="875404" u="1"/>
        <n v="737867" u="1"/>
        <n v="167410" u="1"/>
        <n v="386263" u="1"/>
        <n v="518302" u="1"/>
        <n v="356008" u="1"/>
        <n v="186669" u="1"/>
        <n v="550834" u="1"/>
        <n v="490799" u="1"/>
        <n v="666367" u="1"/>
        <n v="216929" u="1"/>
        <n v="238935" u="1"/>
        <n v="710383" u="1"/>
        <n v="699389" u="1"/>
        <n v="583860" u="1"/>
        <n v="715897" u="1"/>
        <n v="655386" u="1"/>
        <n v="265252" u="1"/>
        <n v="578380" u="1"/>
        <n v="770933" u="1"/>
        <n v="611391" u="1"/>
        <n v="501822" u="1"/>
        <n v="600391" u="1"/>
        <n v="743435" u="1"/>
        <n v="400048" u="1"/>
        <n v="126556" u="1"/>
        <n v="279017" u="1"/>
        <n v="798457" u="1"/>
        <n v="765449" u="1"/>
        <n v="528887" u="1"/>
        <n v="913992" u="1"/>
        <n v="251327" u="1"/>
        <n v="649923" u="1"/>
        <n v="737950" u="1"/>
        <n v="781966" u="1"/>
        <n v="419316" u="1"/>
        <n v="389058" u="1"/>
        <n v="347797" u="1"/>
        <n v="241704" u="1"/>
        <n v="897507" u="1"/>
        <n v="847996" u="1"/>
        <n v="323044" u="1"/>
        <n v="270780" u="1"/>
        <n v="699463" u="1"/>
        <n v="204572" u="1"/>
        <n v="259587" u="1"/>
        <n v="638955" u="1"/>
        <n v="996555" u="1"/>
        <n v="991054" u="1"/>
        <n v="693976" u="1"/>
        <n v="969052" u="1"/>
        <n v="798507" u="1"/>
        <n v="919540" u="1"/>
        <n v="167441" u="1"/>
        <n v="331309" u="1"/>
        <n v="334061" u="1"/>
        <n v="510109" u="1"/>
        <n v="479851" u="1"/>
        <n v="292801" u="1"/>
        <n v="528943" u="1"/>
        <n v="200454" u="1"/>
        <n v="444098" u="1"/>
        <n v="422093" u="1"/>
        <n v="605977" u="1"/>
        <n v="969082" u="1"/>
        <n v="930573" u="1"/>
        <n v="771032" u="1"/>
        <n v="644499" u="1"/>
        <n v="804044" u="1"/>
        <n v="539973" u="1"/>
        <n v="287314" u="1"/>
        <n v="787542" u="1"/>
        <n v="605994" u="1"/>
        <n v="474367" u="1"/>
        <n v="306573" u="1"/>
        <n v="870077" u="1"/>
        <n v="600504" u="1"/>
        <n v="138572" u="1"/>
        <n v="126570" u="1"/>
        <n v="273572" u="1"/>
        <n v="721548" u="1"/>
        <n v="273573" u="1"/>
        <n v="991124" u="1"/>
        <n v="567509" u="1"/>
        <n v="303834" u="1"/>
        <n v="394609" u="1"/>
        <n v="347847" u="1"/>
        <n v="870098" u="1"/>
        <n v="903110" u="1"/>
        <n v="369857" u="1"/>
        <n v="644543" u="1"/>
        <n v="908615" u="1"/>
        <n v="435876" u="1"/>
        <n v="408369" u="1"/>
        <n v="134453" u="1"/>
        <n v="749080" u="1"/>
        <n v="134455" u="1"/>
        <n v="864619" u="1"/>
        <n v="367115" u="1"/>
        <n v="826118" u="1"/>
        <n v="980160" u="1"/>
        <n v="416633" u="1"/>
        <n v="358869" u="1"/>
        <n v="716094" u="1"/>
        <n v="358871" u="1"/>
        <n v="427640" u="1"/>
        <n v="131709" u="1"/>
        <n v="347869" u="1"/>
        <n v="540051" u="1"/>
        <n v="760115" u="1"/>
        <n v="925166" u="1"/>
        <n v="331371" u="1"/>
        <n v="281858" u="1"/>
        <n v="782132" u="1"/>
        <n v="562073" u="1"/>
        <n v="331375" u="1"/>
        <n v="207362" u="1"/>
        <n v="732634" u="1"/>
        <n v="419406" u="1"/>
        <n v="699631" u="1"/>
        <n v="411158" u="1"/>
        <n v="782162" u="1"/>
        <n v="328637" u="1"/>
        <n v="980219" u="1"/>
        <n v="919704" u="1"/>
        <n v="270874" u="1"/>
        <n v="364400" u="1"/>
        <n v="413914" u="1"/>
        <n v="521194" u="1"/>
        <n v="131725" u="1"/>
        <n v="606132" u="1"/>
        <n v="765676" u="1"/>
        <n v="996739" u="1"/>
        <n v="422172" u="1"/>
        <n v="488191" u="1"/>
        <n v="991242" u="1"/>
        <n v="287387" u="1"/>
        <n v="123835" u="1"/>
        <n v="688666" u="1"/>
        <n v="809701" u="1"/>
        <n v="540135" u="1"/>
        <n v="919747" u="1"/>
        <n v="433193" u="1"/>
        <n v="996778" u="1"/>
        <n v="996783" u="1"/>
        <n v="600680" u="1"/>
        <n v="449706" u="1"/>
        <n v="228016" u="1"/>
        <n v="705219" u="1"/>
        <n v="600693" u="1"/>
        <n v="716227" u="1"/>
        <n v="666714" u="1"/>
        <n v="490973" u="1"/>
        <n v="567695" u="1"/>
        <n v="545697" u="1"/>
        <n v="815271" u="1"/>
        <n v="567704" u="1"/>
        <n v="897798" u="1"/>
        <n v="353450" u="1"/>
        <n v="996834" u="1"/>
        <n v="276432" u="1"/>
        <n v="815297" u="1"/>
        <n v="471740" u="1"/>
        <n v="881321" u="1"/>
        <n v="864819" u="1"/>
        <n v="936340" u="1"/>
        <n v="230782" u="1"/>
        <n v="134506" u="1"/>
        <n v="650265" u="1"/>
        <n v="699779" u="1"/>
        <n v="287450" u="1"/>
        <n v="892344" u="1"/>
        <n v="595265" u="1"/>
        <n v="672286" u="1"/>
        <n v="367226" u="1"/>
        <n v="628282" u="1"/>
        <n v="650288" u="1"/>
        <n v="721808" u="1"/>
        <n v="963875" u="1"/>
        <n v="156519" u="1"/>
        <n v="312216" u="1"/>
        <n v="372735" u="1"/>
        <n v="578788" u="1"/>
        <n v="958399" u="1"/>
        <n v="958400" u="1"/>
        <n v="991409" u="1"/>
        <n v="245925" u="1"/>
        <n v="771358" u="1"/>
        <n v="518538" u="1"/>
        <n v="188161" u="1"/>
        <n v="223921" u="1"/>
        <n v="252805" u="1"/>
        <n v="436019" u="1"/>
        <n v="864892" u="1"/>
        <n v="903404" u="1"/>
        <n v="507541" u="1"/>
        <n v="342498" u="1"/>
        <n v="303989" u="1"/>
        <n v="683354" u="1"/>
        <n v="197794" u="1"/>
        <n v="389264" u="1"/>
        <n v="743876" u="1"/>
        <n v="595337" u="1"/>
        <n v="328751" u="1"/>
        <n v="776890" u="1"/>
        <n v="573336" u="1"/>
        <n v="447035" u="1"/>
        <n v="372768" u="1"/>
        <n v="870425" u="1"/>
        <n v="941945" u="1"/>
        <n v="422282" u="1"/>
        <n v="244562" u="1"/>
        <n v="721892" u="1"/>
        <n v="963958" u="1"/>
        <n v="771406" u="1"/>
        <n v="364520" u="1"/>
        <n v="455297" u="1"/>
        <n v="493808" u="1"/>
        <n v="323262" u="1"/>
        <n v="925456" u="1"/>
        <n v="699895" u="1"/>
        <n v="754911" u="1"/>
        <n v="441546" u="1"/>
        <n v="650391" u="1"/>
        <n v="304015" u="1"/>
        <n v="991494" u="1"/>
        <n v="611892" u="1"/>
        <n v="195058" u="1"/>
        <n v="474568" u="1"/>
        <n v="848467" u="1"/>
        <n v="573393" u="1"/>
        <n v="518584" u="1"/>
        <n v="131794" u="1"/>
        <n v="204689" u="1"/>
        <n v="540392" u="1"/>
        <n v="875985" u="1"/>
        <n v="886993" u="1"/>
        <n v="408560" u="1"/>
        <n v="529397" u="1"/>
        <n v="710947" u="1"/>
        <n v="265522" u="1"/>
        <n v="518591" u="1"/>
        <n v="842985" u="1"/>
        <n v="259708" u="1"/>
        <n v="892504" u="1"/>
        <n v="206069" u="1"/>
        <n v="699955" u="1"/>
        <n v="986035" u="1"/>
        <n v="153807" u="1"/>
        <n v="290287" u="1"/>
        <n v="315046" u="1"/>
        <n v="545924" u="1"/>
        <n v="650453" u="1"/>
        <n v="499347" u="1"/>
        <n v="551427" u="1"/>
        <n v="392072" u="1"/>
        <n v="727484" u="1"/>
        <n v="826512" u="1"/>
        <n v="298550" u="1"/>
        <n v="529437" u="1"/>
        <n v="793509" u="1"/>
        <n v="208828" u="1"/>
        <n v="672478" u="1"/>
        <n v="513112" u="1"/>
        <n v="540447" u="1"/>
        <n v="192325" u="1"/>
        <n v="688988" u="1"/>
        <n v="427840" u="1"/>
        <n v="600968" u="1"/>
        <n v="964069" u="1"/>
        <n v="810028" u="1"/>
        <n v="865043" u="1"/>
        <n v="153817" u="1"/>
        <n v="422345" u="1"/>
        <n v="455354" u="1"/>
        <n v="755021" u="1"/>
        <n v="887059" u="1"/>
        <n v="991588" u="1"/>
        <n v="135940" u="1"/>
        <n v="293067" u="1"/>
        <n v="914579" u="1"/>
        <n v="749537" u="1"/>
        <n v="661514" u="1"/>
        <n v="240472" u="1"/>
        <n v="337084" u="1"/>
        <n v="578998" u="1"/>
        <n v="210215" u="1"/>
        <n v="606507" u="1"/>
        <n v="378347" u="1"/>
        <n v="942101" u="1"/>
        <n v="612012" u="1"/>
        <n v="942104" u="1"/>
        <n v="986122" u="1"/>
        <n v="782570" u="1"/>
        <n v="518643" u="1"/>
        <n v="378357" u="1"/>
        <n v="334347" u="1"/>
        <n v="271080" u="1"/>
        <n v="980636" u="1"/>
        <n v="367358" u="1"/>
        <n v="601036" u="1"/>
        <n v="975138" u="1"/>
        <n v="293089" u="1"/>
        <n v="197845" u="1"/>
        <n v="958637" u="1"/>
        <n v="876119" u="1"/>
        <n v="529525" u="1"/>
        <n v="414129" u="1"/>
        <n v="969652" u="1"/>
        <n v="529535" u="1"/>
        <n v="331610" u="1"/>
        <n v="529545" u="1"/>
        <n v="887150" u="1"/>
        <n v="749615" u="1"/>
        <n v="367379" u="1"/>
        <n v="953175" u="1"/>
        <n v="683609" u="1"/>
        <n v="590086" u="1"/>
        <n v="771643" u="1"/>
        <n v="359137" u="1"/>
        <n v="716629" u="1"/>
        <n v="521432" u="1"/>
        <n v="540583" u="1"/>
        <n v="848668" u="1"/>
        <n v="259753" u="1"/>
        <n v="221244" u="1"/>
        <n v="837675" u="1"/>
        <n v="207492" u="1"/>
        <n v="306883" u="1"/>
        <n v="197865" u="1"/>
        <n v="733154" u="1"/>
        <n v="189614" u="1"/>
        <n v="579120" u="1"/>
        <n v="661644" u="1"/>
        <n v="623134" u="1"/>
        <n v="606631" u="1"/>
        <n v="931220" u="1"/>
        <n v="262879" u="1"/>
        <n v="645148" u="1"/>
        <n v="447181" u="1"/>
        <n v="722172" u="1"/>
        <n v="254262" u="1"/>
        <n v="777193" u="1"/>
        <n v="127337" u="1"/>
        <n v="650661" u="1"/>
        <n v="123211" u="1"/>
        <n v="518706" u="1"/>
        <n v="859719" u="1"/>
        <n v="568140" u="1"/>
        <n v="964248" u="1"/>
        <n v="353662" u="1"/>
        <n v="367416" u="1"/>
        <n v="411428" u="1"/>
        <n v="422434" u="1"/>
        <n v="433437" u="1"/>
        <n v="694682" u="1"/>
        <n v="590157" u="1"/>
        <n v="964262" u="1"/>
        <n v="504962" u="1"/>
        <n v="551654" u="1"/>
        <n v="386682" u="1"/>
        <n v="947769" u="1"/>
        <n v="612178" u="1"/>
        <n v="628683" u="1"/>
        <n v="452703" u="1"/>
        <n v="650692" u="1"/>
        <n v="661695" u="1"/>
        <n v="348176" u="1"/>
        <n v="975284" u="1"/>
        <n v="504970" u="1"/>
        <n v="134615" u="1"/>
        <n v="870761" u="1"/>
        <n v="854258" u="1"/>
        <n v="496723" u="1"/>
        <n v="312423" u="1"/>
        <n v="964301" u="1"/>
        <n v="510481" u="1"/>
        <n v="169004" u="1"/>
        <n v="239150" u="1"/>
        <n v="408709" u="1"/>
        <n v="477480" u="1"/>
        <n v="535206" u="1"/>
        <n v="782775" u="1"/>
        <n v="969831" u="1"/>
        <n v="535216" u="1"/>
        <n v="156633" u="1"/>
        <n v="221277" u="1"/>
        <n v="733278" u="1"/>
        <n v="942335" u="1"/>
        <n v="980848" u="1"/>
        <n v="273938" u="1"/>
        <n v="119786" u="1"/>
        <n v="623262" u="1"/>
        <n v="304202" u="1"/>
        <n v="898340" u="1"/>
        <n v="980865" u="1"/>
        <n v="744305" u="1"/>
        <n v="848837" u="1"/>
        <n v="969870" u="1"/>
        <n v="920360" u="1"/>
        <n v="870848" u="1"/>
        <n v="408740" u="1"/>
        <n v="848846" u="1"/>
        <n v="892860" u="1"/>
        <n v="491266" u="1"/>
        <n v="372985" u="1"/>
        <n v="444506" u="1"/>
        <n v="925877" u="1"/>
        <n v="590288" u="1"/>
        <n v="472016" u="1"/>
        <n v="727828" u="1"/>
        <n v="656311" u="1"/>
        <n v="876371" u="1"/>
        <n v="815857" u="1"/>
        <n v="832362" u="1"/>
        <n v="491277" u="1"/>
        <n v="540794" u="1"/>
        <n v="694840" u="1"/>
        <n v="639829" u="1"/>
        <n v="152529" u="1"/>
        <n v="612330" u="1"/>
        <n v="925916" u="1"/>
        <n v="189666" u="1"/>
        <n v="590328" u="1"/>
        <n v="494043" u="1"/>
        <n v="694874" u="1"/>
        <n v="483048" u="1"/>
        <n v="843423" u="1"/>
        <n v="854431" u="1"/>
        <n v="488555" u="1"/>
        <n v="837930" u="1"/>
        <n v="312509" u="1"/>
        <n v="389532" u="1"/>
        <n v="694896" u="1"/>
        <n v="244691" u="1"/>
        <n v="375779" u="1"/>
        <n v="634384" u="1"/>
        <n v="749916" u="1"/>
        <n v="958974" u="1"/>
        <n v="876453" u="1"/>
        <n v="521573" u="1"/>
        <n v="595883" u="1"/>
        <n v="854454" u="1"/>
        <n v="793938" u="1"/>
        <n v="986494" u="1"/>
        <n v="788448" u="1"/>
        <n v="444561" u="1"/>
        <n v="166302" u="1"/>
        <n v="936993" u="1"/>
        <n v="810460" u="1"/>
        <n v="826966" u="1"/>
        <n v="590405" u="1"/>
        <n v="293275" u="1"/>
        <n v="557400" u="1"/>
        <n v="458322" u="1"/>
        <n v="353795" u="1"/>
        <n v="948011" u="1"/>
        <n v="628930" u="1"/>
        <n v="788474" u="1"/>
        <n v="258458" u="1"/>
        <n v="766471" u="1"/>
        <n v="370305" u="1"/>
        <n v="265777" u="1"/>
        <n v="595927" u="1"/>
        <n v="722466" u="1"/>
        <n v="948028" u="1"/>
        <n v="821494" u="1"/>
        <n v="417074" u="1"/>
        <n v="678467" u="1"/>
        <n v="992057" u="1"/>
        <n v="430839" u="1"/>
        <n v="378576" u="1"/>
        <n v="661981" u="1"/>
        <n v="744510" u="1"/>
        <n v="351076" u="1"/>
        <n v="241969" u="1"/>
        <n v="138816" u="1"/>
        <n v="788539" u="1"/>
        <n v="271310" u="1"/>
        <n v="805048" u="1"/>
        <n v="392345" u="1"/>
        <n v="656510" u="1"/>
        <n v="439108" u="1"/>
        <n v="651014" u="1"/>
        <n v="607009" u="1"/>
        <n v="181458" u="1"/>
        <n v="645522" u="1"/>
        <n v="541001" u="1"/>
        <n v="750058" u="1"/>
        <n v="909602" u="1"/>
        <n v="320839" u="1"/>
        <n v="766574" u="1"/>
        <n v="419870" u="1"/>
        <n v="673050" u="1"/>
        <n v="623537" u="1"/>
        <n v="192468" u="1"/>
        <n v="601537" u="1"/>
        <n v="926126" u="1"/>
        <n v="378613" u="1"/>
        <n v="711571" u="1"/>
        <n v="871116" u="1"/>
        <n v="986648" u="1"/>
        <n v="926132" u="1"/>
        <n v="463890" u="1"/>
        <n v="937138" u="1"/>
        <n v="337356" u="1"/>
        <n v="816108" u="1"/>
        <n v="115009" u="1"/>
        <n v="898631" u="1"/>
        <n v="656574" u="1"/>
        <n v="810618" u="1"/>
        <n v="200727" u="1"/>
        <n v="193851" u="1"/>
        <n v="373126" u="1"/>
        <n v="147089" u="1"/>
        <n v="428143" u="1"/>
        <n v="909656" u="1"/>
        <n v="981178" u="1"/>
        <n v="494164" u="1"/>
        <n v="417146" u="1"/>
        <n v="805142" u="1"/>
        <n v="937186" u="1"/>
        <n v="535577" u="1"/>
        <n v="959193" u="1"/>
        <n v="348385" u="1"/>
        <n v="232370" u="1"/>
        <n v="287871" u="1"/>
        <n v="563094" u="1"/>
        <n v="772157" u="1"/>
        <n v="458421" u="1"/>
        <n v="397910" u="1"/>
        <n v="240628" u="1"/>
        <n v="524604" u="1"/>
        <n v="766673" u="1"/>
        <n v="337398" u="1"/>
        <n v="552121" u="1"/>
        <n v="136103" u="1"/>
        <n v="706167" u="1"/>
        <n v="629150" u="1"/>
        <n v="794196" u="1"/>
        <n v="170489" u="1"/>
        <n v="876719" u="1"/>
        <n v="788698" u="1"/>
        <n v="948242" u="1"/>
        <n v="975750" u="1"/>
        <n v="546637" u="1"/>
        <n v="557642" u="1"/>
        <n v="229633" u="1"/>
        <n v="739197" u="1"/>
        <n v="805216" u="1"/>
        <n v="312658" u="1"/>
        <n v="367675" u="1"/>
        <n v="986779" u="1"/>
        <n v="301661" u="1"/>
        <n v="502468" u="1"/>
        <n v="579677" u="1"/>
        <n v="805239" u="1"/>
        <n v="651208" u="1"/>
        <n v="263163" u="1"/>
        <n v="535686" u="1"/>
        <n v="111590" u="1"/>
        <n v="959303" u="1"/>
        <n v="169131" u="1"/>
        <n v="546699" u="1"/>
        <n v="505236" u="1"/>
        <n v="199390" u="1"/>
        <n v="112967" u="1"/>
        <n v="590725" u="1"/>
        <n v="920820" u="1"/>
        <n v="143004" u="1"/>
        <n v="507997" u="1"/>
        <n v="948336" u="1"/>
        <n v="871318" u="1"/>
        <n v="463990" u="1"/>
        <n v="265937" u="1"/>
        <n v="860320" u="1"/>
        <n v="128788" u="1"/>
        <n v="667771" u="1"/>
        <n v="915340" u="1"/>
        <n v="224157" u="1"/>
        <n v="312705" u="1"/>
        <n v="167767" u="1"/>
        <n v="229659" u="1"/>
        <n v="893340" u="1"/>
        <n v="239287" u="1"/>
        <n v="596261" u="1"/>
        <n v="986869" u="1"/>
        <n v="772319" u="1"/>
        <n v="931865" u="1"/>
        <n v="472257" u="1"/>
        <n v="854847" u="1"/>
        <n v="307214" u="1"/>
        <n v="997889" u="1"/>
        <n v="521774" u="1"/>
        <n v="596282" u="1"/>
        <n v="821844" u="1"/>
        <n v="120541" u="1"/>
        <n v="408999" u="1"/>
        <n v="788847" u="1"/>
        <n v="261302" u="1"/>
        <n v="167778" u="1"/>
        <n v="193911" u="1"/>
        <n v="662324" u="1"/>
        <n v="766854" u="1"/>
        <n v="975912" u="1"/>
        <n v="206291" u="1"/>
        <n v="898898" u="1"/>
        <n v="170533" u="1"/>
        <n v="810881" u="1"/>
        <n v="673345" u="1"/>
        <n v="320993" u="1"/>
        <n v="119859" u="1"/>
        <n v="204923" u="1"/>
        <n v="265985" u="1"/>
        <n v="222804" u="1"/>
        <n v="218678" u="1"/>
        <n v="557837" u="1"/>
        <n v="618357" u="1"/>
        <n v="733892" u="1"/>
        <n v="224182" u="1"/>
        <n v="389778" u="1"/>
        <n v="196676" u="1"/>
        <n v="992470" u="1"/>
        <n v="447545" u="1"/>
        <n v="964965" u="1"/>
        <n v="623876" u="1"/>
        <n v="821934" u="1"/>
        <n v="959472" u="1"/>
        <n v="442049" u="1"/>
        <n v="370530" u="1"/>
        <n v="920966" u="1"/>
        <n v="464058" u="1"/>
        <n v="189804" u="1"/>
        <n v="472311" u="1"/>
        <n v="788940" u="1"/>
        <n v="180178" u="1"/>
        <n v="970498" u="1"/>
        <n v="332030" u="1"/>
        <n v="656913" u="1"/>
        <n v="343034" u="1"/>
        <n v="502578" u="1"/>
        <n v="772448" u="1"/>
        <n v="695429" u="1"/>
        <n v="365043" u="1"/>
        <n v="948503" u="1"/>
        <n v="370546" u="1"/>
        <n v="255829" u="1"/>
        <n v="502583" u="1"/>
        <n v="684436" u="1"/>
        <n v="126746" u="1"/>
        <n v="662438" u="1"/>
        <n v="332043" u="1"/>
        <n v="228325" u="1"/>
        <n v="119870" u="1"/>
        <n v="711958" u="1"/>
        <n v="618437" u="1"/>
        <n v="159559" u="1"/>
        <n v="987041" u="1"/>
        <n v="411823" u="1"/>
        <n v="521854" u="1"/>
        <n v="755986" u="1"/>
        <n v="706473" u="1"/>
        <n v="365065" u="1"/>
        <n v="662469" u="1"/>
        <n v="959550" u="1"/>
        <n v="519109" u="1"/>
        <n v="159564" u="1"/>
        <n v="860528" u="1"/>
        <n v="882534" u="1"/>
        <n v="250340" u="1"/>
        <n v="552453" u="1"/>
        <n v="337569" u="1"/>
        <n v="948569" u="1"/>
        <n v="772523" u="1"/>
        <n v="596480" u="1"/>
        <n v="860552" u="1"/>
        <n v="629490" u="1"/>
        <n v="992592" u="1"/>
        <n v="579980" u="1"/>
        <n v="926582" u="1"/>
        <n v="196709" u="1"/>
        <n v="849565" u="1"/>
        <n v="844064" u="1"/>
        <n v="926589" u="1"/>
        <n v="370592" u="1"/>
        <n v="585497" u="1"/>
        <n v="251726" u="1"/>
        <n v="557997" u="1"/>
        <n v="992616" u="1"/>
        <n v="723043" u="1"/>
        <n v="948605" u="1"/>
        <n v="502633" u="1"/>
        <n v="340339" u="1"/>
        <n v="761555" u="1"/>
        <n v="450370" u="1"/>
        <n v="800070" u="1"/>
        <n v="461377" u="1"/>
        <n v="381606" u="1"/>
        <n v="767069" u="1"/>
        <n v="673552" u="1"/>
        <n v="860603" u="1"/>
        <n v="602034" u="1"/>
        <n v="921122" u="1"/>
        <n v="266082" u="1"/>
        <n v="268835" u="1"/>
        <n v="431132" u="1"/>
        <n v="668066" u="1"/>
        <n v="211853" u="1"/>
        <n v="486152" u="1"/>
        <n v="240737" u="1"/>
        <n v="591057" u="1"/>
        <n v="695589" u="1"/>
        <n v="596564" u="1"/>
        <n v="591064" u="1"/>
        <n v="240739" u="1"/>
        <n v="899150" u="1"/>
        <n v="877146" u="1"/>
        <n v="477909" u="1"/>
        <n v="783628" u="1"/>
        <n v="646091" u="1"/>
        <n v="657097" u="1"/>
        <n v="745125" u="1"/>
        <n v="563579" u="1"/>
        <n v="640603" u="1"/>
        <n v="849660" u="1"/>
        <n v="701122" u="1"/>
        <n v="381644" u="1"/>
        <n v="811159" u="1"/>
        <n v="271617" u="1"/>
        <n v="242124" u="1"/>
        <n v="657127" u="1"/>
        <n v="822174" u="1"/>
        <n v="290877" u="1"/>
        <n v="618624" u="1"/>
        <n v="712150" u="1"/>
        <n v="569113" u="1"/>
        <n v="115081" u="1"/>
        <n v="734167" u="1"/>
        <n v="783681" u="1"/>
        <n v="761680" u="1"/>
        <n v="761683" u="1"/>
        <n v="475190" u="1"/>
        <n v="750696" u="1"/>
        <n v="871729" u="1"/>
        <n v="288147" u="1"/>
        <n v="521961" u="1"/>
        <n v="756200" u="1"/>
        <n v="904745" u="1"/>
        <n v="185748" u="1"/>
        <n v="618670" u="1"/>
        <n v="855240" u="1"/>
        <n v="805731" u="1"/>
        <n v="409190" u="1"/>
        <n v="728713" u="1"/>
        <n v="510972" u="1"/>
        <n v="436702" u="1"/>
        <n v="624198" u="1"/>
        <n v="635207" u="1"/>
        <n v="167878" u="1"/>
        <n v="679226" u="1"/>
        <n v="932296" u="1"/>
        <n v="783758" u="1"/>
        <n v="668235" u="1"/>
        <n v="184387" u="1"/>
        <n v="739761" u="1"/>
        <n v="684751" u="1"/>
        <n v="373458" u="1"/>
        <n v="450480" u="1"/>
        <n v="976337" u="1"/>
        <n v="195396" u="1"/>
        <n v="134880" u="1"/>
        <n v="728786" u="1"/>
        <n v="640763" u="1"/>
        <n v="180269" u="1"/>
        <n v="340463" u="1"/>
        <n v="442242" u="1"/>
        <n v="756304" u="1"/>
        <n v="838830" u="1"/>
        <n v="268947" u="1"/>
        <n v="367975" u="1"/>
        <n v="739816" u="1"/>
        <n v="673799" u="1"/>
        <n v="695805" u="1"/>
        <n v="143141" u="1"/>
        <n v="367983" u="1"/>
        <n v="220163" u="1"/>
        <n v="483516" u="1"/>
        <n v="434003" u="1"/>
        <n v="143143" u="1"/>
        <n v="192657" u="1"/>
        <n v="491772" u="1"/>
        <n v="130919" u="1"/>
        <n v="472520" u="1"/>
        <n v="981905" u="1"/>
        <n v="145897" u="1"/>
        <n v="591300" u="1"/>
        <n v="998418" u="1"/>
        <n v="334987" u="1"/>
        <n v="126795" u="1"/>
        <n v="778371" u="1"/>
        <n v="155530" u="1"/>
        <n v="838891" u="1"/>
        <n v="651849" u="1"/>
        <n v="392766" u="1"/>
        <n v="147281" u="1"/>
        <n v="464288" u="1"/>
        <n v="176166" u="1"/>
        <n v="811403" u="1"/>
        <n v="384519" u="1"/>
        <n v="800403" u="1"/>
        <n v="117172" u="1"/>
        <n v="445037" u="1"/>
        <n v="706879" u="1"/>
        <n v="547336" u="1"/>
        <n v="948946" u="1"/>
        <n v="170668" u="1"/>
        <n v="684889" u="1"/>
        <n v="827944" u="1"/>
        <n v="695909" u="1"/>
        <n v="921471" u="1"/>
        <n v="541870" u="1"/>
        <n v="324023" u="1"/>
        <n v="376288" u="1"/>
        <n v="739928" u="1"/>
        <n v="321274" u="1"/>
        <n v="629902" u="1"/>
        <n v="188557" u="1"/>
        <n v="178930" u="1"/>
        <n v="624408" u="1"/>
        <n v="657417" u="1"/>
        <n v="706931" u="1"/>
        <n v="816961" u="1"/>
        <n v="624409" u="1"/>
        <n v="238073" u="1"/>
        <n v="723441" u="1"/>
        <n v="833473" u="1"/>
        <n v="943504" u="1"/>
        <n v="971017" u="1"/>
        <n v="938010" u="1"/>
        <n v="739959" u="1"/>
        <n v="280030" u="1"/>
        <n v="844493" u="1"/>
        <n v="467082" u="1"/>
        <n v="513845" u="1"/>
        <n v="406567" u="1"/>
        <n v="899513" u="1"/>
        <n v="954528" u="1"/>
        <n v="679454" u="1"/>
        <n v="954531" u="1"/>
        <n v="574931" u="1"/>
        <n v="877520" u="1"/>
        <n v="806001" u="1"/>
        <n v="475343" u="1"/>
        <n v="811504" u="1"/>
        <n v="351560" u="1"/>
        <n v="899529" u="1"/>
        <n v="580443" u="1"/>
        <n v="450589" u="1"/>
        <n v="205076" u="1"/>
        <n v="169317" u="1"/>
        <n v="872039" u="1"/>
        <n v="200955" u="1"/>
        <n v="370830" u="1"/>
        <n v="767525" u="1"/>
        <n v="513871" u="1"/>
        <n v="773028" u="1"/>
        <n v="409343" u="1"/>
        <n v="530965" u="1"/>
        <n v="574977" u="1"/>
        <n v="960084" u="1"/>
        <n v="833553" u="1"/>
        <n v="178953" u="1"/>
        <n v="641004" u="1"/>
        <n v="784043" u="1"/>
        <n v="943588" u="1"/>
        <n v="225717" u="1"/>
        <n v="210588" u="1"/>
        <n v="472619" u="1"/>
        <n v="203712" u="1"/>
        <n v="949095" u="1"/>
        <n v="729036" u="1"/>
        <n v="795058" u="1"/>
        <n v="844572" u="1"/>
        <n v="183083" u="1"/>
        <n v="337837" u="1"/>
        <n v="525498" u="1"/>
        <n v="505639" u="1"/>
        <n v="321339" u="1"/>
        <n v="767573" u="1"/>
        <n v="326846" u="1"/>
        <n v="982142" u="1"/>
        <n v="247734" u="1"/>
        <n v="811600" u="1"/>
        <n v="129575" u="1"/>
        <n v="844615" u="1"/>
        <n v="839118" u="1"/>
        <n v="139083" u="1"/>
        <n v="266342" u="1"/>
        <n v="976661" u="1"/>
        <n v="140460" u="1"/>
        <n v="723603" u="1"/>
        <n v="718103" u="1"/>
        <n v="315864" u="1"/>
        <n v="318615" u="1"/>
        <n v="899659" u="1"/>
        <n v="390137" u="1"/>
        <n v="542068" u="1"/>
        <n v="839155" u="1"/>
        <n v="751132" u="1"/>
        <n v="778640" u="1"/>
        <n v="324128" u="1"/>
        <n v="245000" u="1"/>
        <n v="321383" u="1"/>
        <n v="489182" u="1"/>
        <n v="324138" u="1"/>
        <n v="467177" u="1"/>
        <n v="679642" u="1"/>
        <n v="143226" u="1"/>
        <n v="635631" u="1"/>
        <n v="866696" u="1"/>
        <n v="657642" u="1"/>
        <n v="505693" u="1"/>
        <n v="624641" u="1"/>
        <n v="960234" u="1"/>
        <n v="696163" u="1"/>
        <n v="522205" u="1"/>
        <n v="228505" u="1"/>
        <n v="800699" u="1"/>
        <n v="143232" u="1"/>
        <n v="321403" u="1"/>
        <n v="337909" u="1"/>
        <n v="960255" u="1"/>
        <n v="201001" u="1"/>
        <n v="525648" u="1"/>
        <n v="456200" u="1"/>
        <n v="469955" u="1"/>
        <n v="516718" u="1"/>
        <n v="866750" u="1"/>
        <n v="674199" u="1"/>
        <n v="280157" u="1"/>
        <n v="324170" u="1"/>
        <n v="447954" u="1"/>
        <n v="745726" u="1"/>
        <n v="729222" u="1"/>
        <n v="137741" u="1"/>
        <n v="619195" u="1"/>
        <n v="553178" u="1"/>
        <n v="795244" u="1"/>
        <n v="500223" u="1"/>
        <n v="872267" u="1"/>
        <n v="575190" u="1"/>
        <n v="519481" u="1"/>
        <n v="564188" u="1"/>
        <n v="855768" u="1"/>
        <n v="982306" u="1"/>
        <n v="800757" u="1"/>
        <n v="718240" u="1"/>
        <n v="304928" u="1"/>
        <n v="839275" u="1"/>
        <n v="641222" u="1"/>
        <n v="288425" u="1"/>
        <n v="646724" u="1"/>
        <n v="395705" u="1"/>
        <n v="313184" u="1"/>
        <n v="811775" u="1"/>
        <n v="811776" u="1"/>
        <n v="630228" u="1"/>
        <n v="839288" u="1"/>
        <n v="246406" u="1"/>
        <n v="302188" u="1"/>
        <n v="778779" u="1"/>
        <n v="932823" u="1"/>
        <n v="718266" u="1"/>
        <n v="718268" u="1"/>
        <n v="274684" u="1"/>
        <n v="833802" u="1"/>
        <n v="943836" u="1"/>
        <n v="976846" u="1"/>
        <n v="115846" u="1"/>
        <n v="866821" u="1"/>
        <n v="679771" u="1"/>
        <n v="938342" u="1"/>
        <n v="888832" u="1"/>
        <n v="335209" u="1"/>
        <n v="196899" u="1"/>
        <n v="652275" u="1"/>
        <n v="740300" u="1"/>
        <n v="154265" u="1"/>
        <n v="784316" u="1"/>
        <n v="822828" u="1"/>
        <n v="641281" u="1"/>
        <n v="888851" u="1"/>
        <n v="126165" u="1"/>
        <n v="403988" u="1"/>
        <n v="180400" u="1"/>
        <n v="938369" u="1"/>
        <n v="263703" u="1"/>
        <n v="982390" u="1"/>
        <n v="960386" u="1"/>
        <n v="337977" u="1"/>
        <n v="354482" u="1"/>
        <n v="718325" u="1"/>
        <n v="494773" u="1"/>
        <n v="365488" u="1"/>
        <n v="723829" u="1"/>
        <n v="564286" u="1"/>
        <n v="500277" u="1"/>
        <n v="613805" u="1"/>
        <n v="778853" u="1"/>
        <n v="971406" u="1"/>
        <n v="519536" u="1"/>
        <n v="718341" u="1"/>
        <n v="318733" u="1"/>
        <n v="971412" u="1"/>
        <n v="668830" u="1"/>
        <n v="173532" u="1"/>
        <n v="883390" u="1"/>
        <n v="872388" u="1"/>
        <n v="531298" u="1"/>
        <n v="701845" u="1"/>
        <n v="223047" u="1"/>
        <n v="575313" u="1"/>
        <n v="591819" u="1"/>
        <n v="172159" u="1"/>
        <n v="784374" u="1"/>
        <n v="154280" u="1"/>
        <n v="159782" u="1"/>
        <n v="139152" u="1"/>
        <n v="516798" u="1"/>
        <n v="313246" u="1"/>
        <n v="943936" u="1"/>
        <n v="124799" u="1"/>
        <n v="652363" u="1"/>
        <n v="905433" u="1"/>
        <n v="229932" u="1"/>
        <n v="817412" u="1"/>
        <n v="227182" u="1"/>
        <n v="679877" u="1"/>
        <n v="916445" u="1"/>
        <n v="894441" u="1"/>
        <n v="657878" u="1"/>
        <n v="976966" u="1"/>
        <n v="382027" u="1"/>
        <n v="602869" u="1"/>
        <n v="674390" u="1"/>
        <n v="313266" u="1"/>
        <n v="519573" u="1"/>
        <n v="943978" u="1"/>
        <n v="679914" u="1"/>
        <n v="152922" u="1"/>
        <n v="475569" u="1"/>
        <n v="855967" u="1"/>
        <n v="511330" u="1"/>
        <n v="619405" u="1"/>
        <n v="663418" u="1"/>
        <n v="899985" u="1"/>
        <n v="921991" u="1"/>
        <n v="516834" u="1"/>
        <n v="993512" u="1"/>
        <n v="619412" u="1"/>
        <n v="531390" u="1"/>
        <n v="393055" u="1"/>
        <n v="316035" u="1"/>
        <n v="327039" u="1"/>
        <n v="679940" u="1"/>
        <n v="285779" u="1"/>
        <n v="894502" u="1"/>
        <n v="404063" u="1"/>
        <n v="795485" u="1"/>
        <n v="723967" u="1"/>
        <n v="115870" u="1"/>
        <n v="580931" u="1"/>
        <n v="531421" u="1"/>
        <n v="597441" u="1"/>
        <n v="751483" u="1"/>
        <n v="712975" u="1"/>
        <n v="260214" u="1"/>
        <n v="313299" u="1"/>
        <n v="461840" u="1"/>
        <n v="861519" u="1"/>
        <n v="635959" u="1"/>
        <n v="272040" u="1"/>
        <n v="266539" u="1"/>
        <n v="299548" u="1"/>
        <n v="817514" u="1"/>
        <n v="635968" u="1"/>
        <n v="505858" u="1"/>
        <n v="525943" u="1"/>
        <n v="608466" u="1"/>
        <n v="338066" u="1"/>
        <n v="861538" u="1"/>
        <n v="198329" u="1"/>
        <n v="536961" u="1"/>
        <n v="398589" u="1"/>
        <n v="861556" u="1"/>
        <n v="795540" u="1"/>
        <n v="812048" u="1"/>
        <n v="586491" u="1"/>
        <n v="420603" u="1"/>
        <n v="834063" u="1"/>
        <n v="878078" u="1"/>
        <n v="845071" u="1"/>
        <n v="713037" u="1"/>
        <n v="850576" u="1"/>
        <n v="949603" u="1"/>
        <n v="505884" u="1"/>
        <n v="735048" u="1"/>
        <n v="729547" u="1"/>
        <n v="757055" u="1"/>
        <n v="132321" u="1"/>
        <n v="779064" u="1"/>
        <n v="977119" u="1"/>
        <n v="762562" u="1"/>
        <n v="475632" u="1"/>
        <n v="338095" u="1"/>
        <n v="795579" u="1"/>
        <n v="713057" u="1"/>
        <n v="927617" u="1"/>
        <n v="619534" u="1"/>
        <n v="839599" u="1"/>
        <n v="144705" u="1"/>
        <n v="575532" u="1"/>
        <n v="878115" u="1"/>
        <n v="680068" u="1"/>
        <n v="768092" u="1"/>
        <n v="531529" u="1"/>
        <n v="423382" u="1"/>
        <n v="174968" u="1"/>
        <n v="307852" u="1"/>
        <n v="395878" u="1"/>
        <n v="784612" u="1"/>
        <n v="861633" u="1"/>
        <n v="938656" u="1"/>
        <n v="448145" u="1"/>
        <n v="911154" u="1"/>
        <n v="944164" u="1"/>
        <n v="503164" u="1"/>
        <n v="548065" u="1"/>
        <n v="137840" u="1"/>
        <n v="159846" u="1"/>
        <n v="641606" u="1"/>
        <n v="938687" u="1"/>
        <n v="431657" u="1"/>
        <n v="790152" u="1"/>
        <n v="180481" u="1"/>
        <n v="500428" u="1"/>
        <n v="762649" u="1"/>
        <n v="603113" u="1"/>
        <n v="625124" u="1"/>
        <n v="691145" u="1"/>
        <n v="379405" u="1"/>
        <n v="724157" u="1"/>
        <n v="729660" u="1"/>
        <n v="124146" u="1"/>
        <n v="379407" u="1"/>
        <n v="163983" u="1"/>
        <n v="263878" u="1"/>
        <n v="977234" u="1"/>
        <n v="177738" u="1"/>
        <n v="349152" u="1"/>
        <n v="839698" u="1"/>
        <n v="511447" u="1"/>
        <n v="475688" u="1"/>
        <n v="889216" u="1"/>
        <n v="296891" u="1"/>
        <n v="187368" u="1"/>
        <n v="141981" u="1"/>
        <n v="346408" u="1"/>
        <n v="514204" u="1"/>
        <n v="834211" u="1"/>
        <n v="390421" u="1"/>
        <n v="542633" u="1"/>
        <n v="999263" u="1"/>
        <n v="801210" u="1"/>
        <n v="448191" u="1"/>
        <n v="354667" u="1"/>
        <n v="373924" u="1"/>
      </sharedItems>
    </cacheField>
    <cacheField name="Date" numFmtId="14">
      <sharedItems containsSemiMixedTypes="0" containsNonDate="0" containsDate="1" containsString="0" minDate="2019-01-01T00:00:00" maxDate="2019-02-01T00:00:00" count="31">
        <d v="2019-01-06T00:00:00"/>
        <d v="2019-01-03T00:00:00"/>
        <d v="2019-01-27T00:00:00"/>
        <d v="2019-01-31T00:00:00"/>
        <d v="2019-01-15T00:00:00"/>
        <d v="2019-01-30T00:00:00"/>
        <d v="2019-01-01T00:00:00"/>
        <d v="2019-01-22T00:00:00"/>
        <d v="2019-01-07T00:00:00"/>
        <d v="2019-01-05T00:00:00"/>
        <d v="2019-01-17T00:00:00"/>
        <d v="2019-01-26T00:00:00"/>
        <d v="2019-01-09T00:00:00"/>
        <d v="2019-01-23T00:00:00"/>
        <d v="2019-01-24T00:00:00"/>
        <d v="2019-01-18T00:00:00"/>
        <d v="2019-01-10T00:00:00"/>
        <d v="2019-01-11T00:00:00"/>
        <d v="2019-01-25T00:00:00"/>
        <d v="2019-01-20T00:00:00"/>
        <d v="2019-01-16T00:00:00"/>
        <d v="2019-01-08T00:00:00"/>
        <d v="2019-01-04T00:00:00"/>
        <d v="2019-01-29T00:00:00"/>
        <d v="2019-01-21T00:00:00"/>
        <d v="2019-01-19T00:00:00"/>
        <d v="2019-01-12T00:00:00"/>
        <d v="2019-01-14T00:00:00"/>
        <d v="2019-01-13T00:00:00"/>
        <d v="2019-01-28T00:00:00"/>
        <d v="2019-01-02T00:00:00"/>
      </sharedItems>
    </cacheField>
    <cacheField name="Tech" numFmtId="14">
      <sharedItems count="5">
        <s v="Ming Riggle  "/>
        <s v="Trinidad Ochoa  "/>
        <s v="Alton Bedwell  "/>
        <s v="Jackeline Gunderson  "/>
        <s v="Nickie Kari  "/>
      </sharedItems>
    </cacheField>
    <cacheField name="Customer Name" numFmtId="0">
      <sharedItems count="100">
        <s v="Maria Staller  "/>
        <s v="Darcy Terrill  "/>
        <s v="Carlie Newcomer  "/>
        <s v="Lilliana Quirk  "/>
        <s v="Jamel Cargile  "/>
        <s v="Dane Velez  "/>
        <s v="Taunya Dille  "/>
        <s v="Leisa Schatz  "/>
        <s v="Marin Vanderhorst  "/>
        <s v="Caleb Parras  "/>
        <s v="Rayford Isherwood  "/>
        <s v="Julianna Amon  "/>
        <s v="Diedra Mcmahon  "/>
        <s v="Sandra Polen  "/>
        <s v="Lewis Bruton  "/>
        <s v="Quinton Folson  "/>
        <s v="Christine Casazza  "/>
        <s v="Earlie Alexis  "/>
        <s v="Indira Prunty  "/>
        <s v="Julie Kulp  "/>
        <s v="Shad Perino  "/>
        <s v="Leann Garza  "/>
        <s v="Michiko Andrew  "/>
        <s v="Yukiko Clatterbuck  "/>
        <s v="Caryn Dominick  "/>
        <s v="Eleonor Ingwersen  "/>
        <s v="Alanna Schimmel  "/>
        <s v="Gladis Samson  "/>
        <s v="Austin Farago  "/>
        <s v="Elmer Arechiga  "/>
        <s v="Britney Domenick  "/>
        <s v="Ashely Kazmierczak  "/>
        <s v="Maryanna Schrader  "/>
        <s v="Dennis Sowder  "/>
        <s v="Loida Maese  "/>
        <s v="Phoebe Krok  "/>
        <s v="Linda Haris  "/>
        <s v="Bibi Drayton  "/>
        <s v="Harrison Aguon  "/>
        <s v="Georgia Dell  "/>
        <s v="Anna Mccaffery  "/>
        <s v="Dante Policastro  "/>
        <s v="Madalene Dimery  "/>
        <s v="Nguyet Mazzella  "/>
        <s v="Jacquelin Ashalintubbi  "/>
        <s v="Glen Slama  "/>
        <s v="Miyoko Cerny  "/>
        <s v="Sharilyn Righter  "/>
        <s v="Ha Bruns  "/>
        <s v="Stephan Munguia  "/>
        <s v="Etha Lutes  "/>
        <s v="Melynda Gersten  "/>
        <s v="Teodoro Halsted  "/>
        <s v="Lexie Glatt  "/>
        <s v="Miriam Hershberger  "/>
        <s v="Yuri Winkelman  "/>
        <s v="Aiko Bader  "/>
        <s v="Ariel Wooley  "/>
        <s v="Janelle Farhat  "/>
        <s v="Roosevelt Burkhard  "/>
        <s v="Breana Heiss  "/>
        <s v="Chieko Perkinson  "/>
        <s v="Reba Leahy  "/>
        <s v="Jeniffer Patch  "/>
        <s v="Helaine Dohm  "/>
        <s v="Ashanti Landsman  "/>
        <s v="Loris Aronson  "/>
        <s v="Shena Wightman  "/>
        <s v="Jovita Stanbery  "/>
        <s v="Dusti Dasilva  "/>
        <s v="Joeann Connolly  "/>
        <s v="Malik Derose  "/>
        <s v="Lynetta Lefevre  "/>
        <s v="Sparkle Tingley  "/>
        <s v="Saran Enz  "/>
        <s v="Charmaine Hollabaugh  "/>
        <s v="Reda Hollie  "/>
        <s v="Dane Gallardo  "/>
        <s v="Roseann Acedo  "/>
        <s v="Emily Rigby  "/>
        <s v="Omega Burke  "/>
        <s v="Ezequiel Bevilacqua  "/>
        <s v="Katelyn Dobrowolski  "/>
        <s v="Jeanmarie Paradise  "/>
        <s v="Lin Dowden  "/>
        <s v="Deedra Weekes  "/>
        <s v="Aretha Tardy  "/>
        <s v="Michiko Cato  "/>
        <s v="Carl Grinstead  "/>
        <s v="Moshe Castrejon  "/>
        <s v="Hung Galbraith  "/>
        <s v="Albertina Running  "/>
        <s v="Mauricio Burkart  "/>
        <s v="Matthew Mccain  "/>
        <s v="Enoch Winland  "/>
        <s v="Shakita Canez  "/>
        <s v="Kizzie Ferrill  "/>
        <s v="Coralie Lowe  "/>
        <s v="Erminia Kurland  "/>
        <s v="Zulma Ropp  "/>
      </sharedItems>
    </cacheField>
    <cacheField name="Collected" numFmtId="164">
      <sharedItems containsSemiMixedTypes="0" containsString="0" containsNumber="1" containsInteger="1" minValue="51" maxValue="850"/>
    </cacheField>
    <cacheField name="Fees" numFmtId="164">
      <sharedItems containsSemiMixedTypes="0" containsString="0" containsNumber="1" containsInteger="1" minValue="0" maxValue="50"/>
    </cacheField>
    <cacheField name="Commission" numFmtId="164">
      <sharedItems containsSemiMixedTypes="0" containsString="0" containsNumber="1" minValue="2.5500000000000003" maxValue="110.5"/>
    </cacheField>
    <cacheField name="Total Commission + Fees" numFmtId="0" formula="Commission+Fee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8">
  <r>
    <x v="0"/>
    <x v="0"/>
    <x v="0"/>
    <x v="0"/>
    <n v="553"/>
    <n v="0"/>
    <n v="71.89"/>
  </r>
  <r>
    <x v="1"/>
    <x v="1"/>
    <x v="1"/>
    <x v="1"/>
    <n v="275"/>
    <n v="0"/>
    <n v="22"/>
  </r>
  <r>
    <x v="2"/>
    <x v="2"/>
    <x v="2"/>
    <x v="2"/>
    <n v="185"/>
    <n v="0"/>
    <n v="9.25"/>
  </r>
  <r>
    <x v="3"/>
    <x v="3"/>
    <x v="3"/>
    <x v="3"/>
    <n v="794"/>
    <n v="0"/>
    <n v="103.22"/>
  </r>
  <r>
    <x v="4"/>
    <x v="4"/>
    <x v="4"/>
    <x v="4"/>
    <n v="249"/>
    <n v="0"/>
    <n v="19.920000000000002"/>
  </r>
  <r>
    <x v="5"/>
    <x v="5"/>
    <x v="0"/>
    <x v="5"/>
    <n v="62"/>
    <n v="0"/>
    <n v="3.1"/>
  </r>
  <r>
    <x v="6"/>
    <x v="6"/>
    <x v="1"/>
    <x v="6"/>
    <n v="118"/>
    <n v="25"/>
    <n v="5.9"/>
  </r>
  <r>
    <x v="7"/>
    <x v="7"/>
    <x v="2"/>
    <x v="7"/>
    <n v="650"/>
    <n v="0"/>
    <n v="84.5"/>
  </r>
  <r>
    <x v="8"/>
    <x v="8"/>
    <x v="3"/>
    <x v="8"/>
    <n v="641"/>
    <n v="0"/>
    <n v="83.33"/>
  </r>
  <r>
    <x v="9"/>
    <x v="9"/>
    <x v="4"/>
    <x v="9"/>
    <n v="840"/>
    <n v="0"/>
    <n v="109.2"/>
  </r>
  <r>
    <x v="10"/>
    <x v="7"/>
    <x v="0"/>
    <x v="10"/>
    <n v="257"/>
    <n v="0"/>
    <n v="20.56"/>
  </r>
  <r>
    <x v="11"/>
    <x v="10"/>
    <x v="1"/>
    <x v="11"/>
    <n v="318"/>
    <n v="25"/>
    <n v="25.44"/>
  </r>
  <r>
    <x v="12"/>
    <x v="11"/>
    <x v="2"/>
    <x v="12"/>
    <n v="533"/>
    <n v="25"/>
    <n v="69.290000000000006"/>
  </r>
  <r>
    <x v="13"/>
    <x v="12"/>
    <x v="3"/>
    <x v="13"/>
    <n v="300"/>
    <n v="50"/>
    <n v="24"/>
  </r>
  <r>
    <x v="14"/>
    <x v="6"/>
    <x v="4"/>
    <x v="14"/>
    <n v="763"/>
    <n v="0"/>
    <n v="99.19"/>
  </r>
  <r>
    <x v="15"/>
    <x v="13"/>
    <x v="0"/>
    <x v="15"/>
    <n v="812"/>
    <n v="0"/>
    <n v="105.56"/>
  </r>
  <r>
    <x v="16"/>
    <x v="6"/>
    <x v="1"/>
    <x v="16"/>
    <n v="62"/>
    <n v="0"/>
    <n v="3.1"/>
  </r>
  <r>
    <x v="17"/>
    <x v="14"/>
    <x v="2"/>
    <x v="17"/>
    <n v="574"/>
    <n v="0"/>
    <n v="74.62"/>
  </r>
  <r>
    <x v="18"/>
    <x v="15"/>
    <x v="3"/>
    <x v="18"/>
    <n v="839"/>
    <n v="25"/>
    <n v="109.07000000000001"/>
  </r>
  <r>
    <x v="19"/>
    <x v="3"/>
    <x v="4"/>
    <x v="19"/>
    <n v="454"/>
    <n v="0"/>
    <n v="59.02"/>
  </r>
  <r>
    <x v="20"/>
    <x v="16"/>
    <x v="0"/>
    <x v="20"/>
    <n v="192"/>
    <n v="25"/>
    <n v="9.6000000000000014"/>
  </r>
  <r>
    <x v="21"/>
    <x v="14"/>
    <x v="1"/>
    <x v="21"/>
    <n v="364"/>
    <n v="0"/>
    <n v="29.12"/>
  </r>
  <r>
    <x v="22"/>
    <x v="9"/>
    <x v="2"/>
    <x v="22"/>
    <n v="628"/>
    <n v="25"/>
    <n v="81.64"/>
  </r>
  <r>
    <x v="23"/>
    <x v="5"/>
    <x v="3"/>
    <x v="23"/>
    <n v="401"/>
    <n v="25"/>
    <n v="52.13"/>
  </r>
  <r>
    <x v="24"/>
    <x v="17"/>
    <x v="4"/>
    <x v="24"/>
    <n v="164"/>
    <n v="0"/>
    <n v="8.2000000000000011"/>
  </r>
  <r>
    <x v="25"/>
    <x v="18"/>
    <x v="0"/>
    <x v="25"/>
    <n v="687"/>
    <n v="50"/>
    <n v="89.31"/>
  </r>
  <r>
    <x v="26"/>
    <x v="13"/>
    <x v="1"/>
    <x v="26"/>
    <n v="217"/>
    <n v="0"/>
    <n v="17.36"/>
  </r>
  <r>
    <x v="27"/>
    <x v="6"/>
    <x v="2"/>
    <x v="27"/>
    <n v="454"/>
    <n v="0"/>
    <n v="59.02"/>
  </r>
  <r>
    <x v="28"/>
    <x v="3"/>
    <x v="3"/>
    <x v="28"/>
    <n v="697"/>
    <n v="0"/>
    <n v="90.61"/>
  </r>
  <r>
    <x v="29"/>
    <x v="19"/>
    <x v="4"/>
    <x v="29"/>
    <n v="309"/>
    <n v="50"/>
    <n v="24.72"/>
  </r>
  <r>
    <x v="30"/>
    <x v="12"/>
    <x v="0"/>
    <x v="30"/>
    <n v="147"/>
    <n v="0"/>
    <n v="7.3500000000000005"/>
  </r>
  <r>
    <x v="31"/>
    <x v="5"/>
    <x v="1"/>
    <x v="31"/>
    <n v="61"/>
    <n v="50"/>
    <n v="3.0500000000000003"/>
  </r>
  <r>
    <x v="32"/>
    <x v="20"/>
    <x v="2"/>
    <x v="32"/>
    <n v="354"/>
    <n v="0"/>
    <n v="28.32"/>
  </r>
  <r>
    <x v="33"/>
    <x v="21"/>
    <x v="3"/>
    <x v="33"/>
    <n v="558"/>
    <n v="0"/>
    <n v="72.540000000000006"/>
  </r>
  <r>
    <x v="34"/>
    <x v="22"/>
    <x v="4"/>
    <x v="34"/>
    <n v="829"/>
    <n v="0"/>
    <n v="107.77000000000001"/>
  </r>
  <r>
    <x v="35"/>
    <x v="23"/>
    <x v="0"/>
    <x v="35"/>
    <n v="491"/>
    <n v="0"/>
    <n v="63.830000000000005"/>
  </r>
  <r>
    <x v="36"/>
    <x v="16"/>
    <x v="1"/>
    <x v="36"/>
    <n v="843"/>
    <n v="0"/>
    <n v="109.59"/>
  </r>
  <r>
    <x v="37"/>
    <x v="13"/>
    <x v="2"/>
    <x v="37"/>
    <n v="263"/>
    <n v="0"/>
    <n v="21.04"/>
  </r>
  <r>
    <x v="38"/>
    <x v="24"/>
    <x v="3"/>
    <x v="38"/>
    <n v="183"/>
    <n v="0"/>
    <n v="9.15"/>
  </r>
  <r>
    <x v="39"/>
    <x v="25"/>
    <x v="4"/>
    <x v="39"/>
    <n v="520"/>
    <n v="25"/>
    <n v="67.600000000000009"/>
  </r>
  <r>
    <x v="40"/>
    <x v="11"/>
    <x v="0"/>
    <x v="40"/>
    <n v="656"/>
    <n v="25"/>
    <n v="85.28"/>
  </r>
  <r>
    <x v="41"/>
    <x v="9"/>
    <x v="1"/>
    <x v="41"/>
    <n v="286"/>
    <n v="0"/>
    <n v="22.88"/>
  </r>
  <r>
    <x v="42"/>
    <x v="12"/>
    <x v="2"/>
    <x v="42"/>
    <n v="54"/>
    <n v="0"/>
    <n v="2.7"/>
  </r>
  <r>
    <x v="43"/>
    <x v="26"/>
    <x v="3"/>
    <x v="43"/>
    <n v="622"/>
    <n v="50"/>
    <n v="80.86"/>
  </r>
  <r>
    <x v="44"/>
    <x v="15"/>
    <x v="4"/>
    <x v="44"/>
    <n v="297"/>
    <n v="0"/>
    <n v="23.76"/>
  </r>
  <r>
    <x v="45"/>
    <x v="4"/>
    <x v="0"/>
    <x v="45"/>
    <n v="409"/>
    <n v="25"/>
    <n v="53.17"/>
  </r>
  <r>
    <x v="46"/>
    <x v="27"/>
    <x v="1"/>
    <x v="46"/>
    <n v="766"/>
    <n v="50"/>
    <n v="99.58"/>
  </r>
  <r>
    <x v="47"/>
    <x v="19"/>
    <x v="2"/>
    <x v="47"/>
    <n v="709"/>
    <n v="0"/>
    <n v="92.17"/>
  </r>
  <r>
    <x v="48"/>
    <x v="5"/>
    <x v="3"/>
    <x v="48"/>
    <n v="404"/>
    <n v="50"/>
    <n v="52.52"/>
  </r>
  <r>
    <x v="49"/>
    <x v="17"/>
    <x v="4"/>
    <x v="49"/>
    <n v="540"/>
    <n v="25"/>
    <n v="70.2"/>
  </r>
  <r>
    <x v="50"/>
    <x v="5"/>
    <x v="0"/>
    <x v="50"/>
    <n v="177"/>
    <n v="0"/>
    <n v="8.85"/>
  </r>
  <r>
    <x v="51"/>
    <x v="14"/>
    <x v="1"/>
    <x v="51"/>
    <n v="723"/>
    <n v="0"/>
    <n v="93.990000000000009"/>
  </r>
  <r>
    <x v="52"/>
    <x v="0"/>
    <x v="2"/>
    <x v="52"/>
    <n v="167"/>
    <n v="0"/>
    <n v="8.35"/>
  </r>
  <r>
    <x v="53"/>
    <x v="18"/>
    <x v="3"/>
    <x v="53"/>
    <n v="554"/>
    <n v="0"/>
    <n v="72.02"/>
  </r>
  <r>
    <x v="54"/>
    <x v="27"/>
    <x v="4"/>
    <x v="54"/>
    <n v="342"/>
    <n v="0"/>
    <n v="27.36"/>
  </r>
  <r>
    <x v="55"/>
    <x v="17"/>
    <x v="0"/>
    <x v="55"/>
    <n v="503"/>
    <n v="50"/>
    <n v="65.39"/>
  </r>
  <r>
    <x v="56"/>
    <x v="14"/>
    <x v="1"/>
    <x v="56"/>
    <n v="829"/>
    <n v="0"/>
    <n v="107.77000000000001"/>
  </r>
  <r>
    <x v="57"/>
    <x v="28"/>
    <x v="2"/>
    <x v="57"/>
    <n v="252"/>
    <n v="25"/>
    <n v="20.16"/>
  </r>
  <r>
    <x v="58"/>
    <x v="8"/>
    <x v="3"/>
    <x v="58"/>
    <n v="549"/>
    <n v="25"/>
    <n v="71.37"/>
  </r>
  <r>
    <x v="59"/>
    <x v="16"/>
    <x v="4"/>
    <x v="59"/>
    <n v="73"/>
    <n v="0"/>
    <n v="3.6500000000000004"/>
  </r>
  <r>
    <x v="60"/>
    <x v="9"/>
    <x v="0"/>
    <x v="60"/>
    <n v="657"/>
    <n v="25"/>
    <n v="85.41"/>
  </r>
  <r>
    <x v="61"/>
    <x v="19"/>
    <x v="1"/>
    <x v="61"/>
    <n v="243"/>
    <n v="0"/>
    <n v="19.440000000000001"/>
  </r>
  <r>
    <x v="62"/>
    <x v="22"/>
    <x v="2"/>
    <x v="62"/>
    <n v="115"/>
    <n v="0"/>
    <n v="5.75"/>
  </r>
  <r>
    <x v="63"/>
    <x v="8"/>
    <x v="3"/>
    <x v="63"/>
    <n v="267"/>
    <n v="25"/>
    <n v="21.36"/>
  </r>
  <r>
    <x v="64"/>
    <x v="3"/>
    <x v="4"/>
    <x v="64"/>
    <n v="550"/>
    <n v="50"/>
    <n v="71.5"/>
  </r>
  <r>
    <x v="65"/>
    <x v="20"/>
    <x v="0"/>
    <x v="65"/>
    <n v="509"/>
    <n v="0"/>
    <n v="66.17"/>
  </r>
  <r>
    <x v="66"/>
    <x v="25"/>
    <x v="1"/>
    <x v="66"/>
    <n v="345"/>
    <n v="50"/>
    <n v="27.6"/>
  </r>
  <r>
    <x v="67"/>
    <x v="23"/>
    <x v="2"/>
    <x v="67"/>
    <n v="98"/>
    <n v="50"/>
    <n v="4.9000000000000004"/>
  </r>
  <r>
    <x v="68"/>
    <x v="8"/>
    <x v="3"/>
    <x v="68"/>
    <n v="673"/>
    <n v="0"/>
    <n v="87.490000000000009"/>
  </r>
  <r>
    <x v="69"/>
    <x v="7"/>
    <x v="4"/>
    <x v="69"/>
    <n v="658"/>
    <n v="50"/>
    <n v="85.54"/>
  </r>
  <r>
    <x v="70"/>
    <x v="7"/>
    <x v="0"/>
    <x v="70"/>
    <n v="155"/>
    <n v="0"/>
    <n v="7.75"/>
  </r>
  <r>
    <x v="71"/>
    <x v="18"/>
    <x v="1"/>
    <x v="71"/>
    <n v="94"/>
    <n v="25"/>
    <n v="4.7"/>
  </r>
  <r>
    <x v="72"/>
    <x v="14"/>
    <x v="2"/>
    <x v="72"/>
    <n v="661"/>
    <n v="50"/>
    <n v="85.93"/>
  </r>
  <r>
    <x v="73"/>
    <x v="14"/>
    <x v="3"/>
    <x v="73"/>
    <n v="630"/>
    <n v="0"/>
    <n v="81.900000000000006"/>
  </r>
  <r>
    <x v="74"/>
    <x v="22"/>
    <x v="4"/>
    <x v="74"/>
    <n v="551"/>
    <n v="0"/>
    <n v="71.63"/>
  </r>
  <r>
    <x v="75"/>
    <x v="22"/>
    <x v="0"/>
    <x v="75"/>
    <n v="356"/>
    <n v="50"/>
    <n v="28.48"/>
  </r>
  <r>
    <x v="76"/>
    <x v="29"/>
    <x v="1"/>
    <x v="76"/>
    <n v="425"/>
    <n v="25"/>
    <n v="55.25"/>
  </r>
  <r>
    <x v="77"/>
    <x v="17"/>
    <x v="2"/>
    <x v="77"/>
    <n v="51"/>
    <n v="0"/>
    <n v="2.5500000000000003"/>
  </r>
  <r>
    <x v="78"/>
    <x v="0"/>
    <x v="3"/>
    <x v="78"/>
    <n v="850"/>
    <n v="0"/>
    <n v="110.5"/>
  </r>
  <r>
    <x v="79"/>
    <x v="16"/>
    <x v="4"/>
    <x v="79"/>
    <n v="356"/>
    <n v="0"/>
    <n v="28.48"/>
  </r>
  <r>
    <x v="80"/>
    <x v="24"/>
    <x v="0"/>
    <x v="80"/>
    <n v="816"/>
    <n v="0"/>
    <n v="106.08"/>
  </r>
  <r>
    <x v="81"/>
    <x v="12"/>
    <x v="1"/>
    <x v="81"/>
    <n v="450"/>
    <n v="25"/>
    <n v="58.5"/>
  </r>
  <r>
    <x v="82"/>
    <x v="21"/>
    <x v="2"/>
    <x v="82"/>
    <n v="603"/>
    <n v="0"/>
    <n v="78.39"/>
  </r>
  <r>
    <x v="83"/>
    <x v="6"/>
    <x v="3"/>
    <x v="83"/>
    <n v="787"/>
    <n v="0"/>
    <n v="102.31"/>
  </r>
  <r>
    <x v="84"/>
    <x v="10"/>
    <x v="4"/>
    <x v="84"/>
    <n v="848"/>
    <n v="25"/>
    <n v="110.24000000000001"/>
  </r>
  <r>
    <x v="85"/>
    <x v="15"/>
    <x v="0"/>
    <x v="85"/>
    <n v="260"/>
    <n v="25"/>
    <n v="20.8"/>
  </r>
  <r>
    <x v="86"/>
    <x v="30"/>
    <x v="1"/>
    <x v="86"/>
    <n v="217"/>
    <n v="0"/>
    <n v="17.36"/>
  </r>
  <r>
    <x v="87"/>
    <x v="18"/>
    <x v="2"/>
    <x v="87"/>
    <n v="806"/>
    <n v="0"/>
    <n v="104.78"/>
  </r>
  <r>
    <x v="88"/>
    <x v="19"/>
    <x v="3"/>
    <x v="88"/>
    <n v="501"/>
    <n v="0"/>
    <n v="65.13"/>
  </r>
  <r>
    <x v="89"/>
    <x v="28"/>
    <x v="4"/>
    <x v="89"/>
    <n v="774"/>
    <n v="0"/>
    <n v="100.62"/>
  </r>
  <r>
    <x v="90"/>
    <x v="25"/>
    <x v="0"/>
    <x v="90"/>
    <n v="658"/>
    <n v="50"/>
    <n v="85.54"/>
  </r>
  <r>
    <x v="91"/>
    <x v="9"/>
    <x v="1"/>
    <x v="91"/>
    <n v="819"/>
    <n v="0"/>
    <n v="106.47"/>
  </r>
  <r>
    <x v="92"/>
    <x v="15"/>
    <x v="2"/>
    <x v="92"/>
    <n v="678"/>
    <n v="0"/>
    <n v="88.14"/>
  </r>
  <r>
    <x v="93"/>
    <x v="20"/>
    <x v="3"/>
    <x v="93"/>
    <n v="790"/>
    <n v="0"/>
    <n v="102.7"/>
  </r>
  <r>
    <x v="94"/>
    <x v="5"/>
    <x v="4"/>
    <x v="94"/>
    <n v="313"/>
    <n v="25"/>
    <n v="25.04"/>
  </r>
  <r>
    <x v="95"/>
    <x v="30"/>
    <x v="0"/>
    <x v="95"/>
    <n v="333"/>
    <n v="0"/>
    <n v="26.64"/>
  </r>
  <r>
    <x v="96"/>
    <x v="4"/>
    <x v="1"/>
    <x v="96"/>
    <n v="652"/>
    <n v="50"/>
    <n v="84.76"/>
  </r>
  <r>
    <x v="97"/>
    <x v="18"/>
    <x v="2"/>
    <x v="97"/>
    <n v="187"/>
    <n v="0"/>
    <n v="9.35"/>
  </r>
  <r>
    <x v="98"/>
    <x v="6"/>
    <x v="3"/>
    <x v="98"/>
    <n v="569"/>
    <n v="0"/>
    <n v="73.97"/>
  </r>
  <r>
    <x v="99"/>
    <x v="8"/>
    <x v="4"/>
    <x v="99"/>
    <n v="171"/>
    <n v="0"/>
    <n v="8.5500000000000007"/>
  </r>
  <r>
    <x v="100"/>
    <x v="27"/>
    <x v="0"/>
    <x v="50"/>
    <n v="219"/>
    <n v="0"/>
    <n v="17.52"/>
  </r>
  <r>
    <x v="101"/>
    <x v="1"/>
    <x v="1"/>
    <x v="51"/>
    <n v="298"/>
    <n v="0"/>
    <n v="23.84"/>
  </r>
  <r>
    <x v="102"/>
    <x v="28"/>
    <x v="2"/>
    <x v="52"/>
    <n v="385"/>
    <n v="25"/>
    <n v="30.8"/>
  </r>
  <r>
    <x v="103"/>
    <x v="30"/>
    <x v="3"/>
    <x v="53"/>
    <n v="413"/>
    <n v="0"/>
    <n v="53.690000000000005"/>
  </r>
  <r>
    <x v="104"/>
    <x v="18"/>
    <x v="4"/>
    <x v="54"/>
    <n v="707"/>
    <n v="50"/>
    <n v="91.91"/>
  </r>
  <r>
    <x v="105"/>
    <x v="0"/>
    <x v="0"/>
    <x v="55"/>
    <n v="689"/>
    <n v="0"/>
    <n v="89.570000000000007"/>
  </r>
  <r>
    <x v="106"/>
    <x v="9"/>
    <x v="1"/>
    <x v="56"/>
    <n v="726"/>
    <n v="0"/>
    <n v="94.38000000000001"/>
  </r>
  <r>
    <x v="107"/>
    <x v="11"/>
    <x v="2"/>
    <x v="57"/>
    <n v="760"/>
    <n v="0"/>
    <n v="98.8"/>
  </r>
  <r>
    <x v="108"/>
    <x v="13"/>
    <x v="3"/>
    <x v="58"/>
    <n v="736"/>
    <n v="25"/>
    <n v="95.68"/>
  </r>
  <r>
    <x v="109"/>
    <x v="1"/>
    <x v="4"/>
    <x v="59"/>
    <n v="121"/>
    <n v="0"/>
    <n v="6.0500000000000007"/>
  </r>
  <r>
    <x v="110"/>
    <x v="18"/>
    <x v="0"/>
    <x v="60"/>
    <n v="421"/>
    <n v="25"/>
    <n v="54.730000000000004"/>
  </r>
  <r>
    <x v="111"/>
    <x v="28"/>
    <x v="1"/>
    <x v="61"/>
    <n v="97"/>
    <n v="0"/>
    <n v="4.8500000000000005"/>
  </r>
  <r>
    <x v="112"/>
    <x v="17"/>
    <x v="2"/>
    <x v="62"/>
    <n v="706"/>
    <n v="0"/>
    <n v="91.78"/>
  </r>
  <r>
    <x v="113"/>
    <x v="3"/>
    <x v="3"/>
    <x v="63"/>
    <n v="317"/>
    <n v="0"/>
    <n v="25.36"/>
  </r>
  <r>
    <x v="114"/>
    <x v="6"/>
    <x v="4"/>
    <x v="64"/>
    <n v="241"/>
    <n v="50"/>
    <n v="19.28"/>
  </r>
  <r>
    <x v="115"/>
    <x v="0"/>
    <x v="0"/>
    <x v="65"/>
    <n v="232"/>
    <n v="0"/>
    <n v="18.559999999999999"/>
  </r>
  <r>
    <x v="116"/>
    <x v="4"/>
    <x v="1"/>
    <x v="66"/>
    <n v="745"/>
    <n v="50"/>
    <n v="96.850000000000009"/>
  </r>
  <r>
    <x v="117"/>
    <x v="14"/>
    <x v="2"/>
    <x v="67"/>
    <n v="497"/>
    <n v="0"/>
    <n v="64.61"/>
  </r>
  <r>
    <x v="118"/>
    <x v="10"/>
    <x v="3"/>
    <x v="68"/>
    <n v="476"/>
    <n v="50"/>
    <n v="61.88"/>
  </r>
  <r>
    <x v="119"/>
    <x v="10"/>
    <x v="4"/>
    <x v="69"/>
    <n v="811"/>
    <n v="25"/>
    <n v="105.43"/>
  </r>
  <r>
    <x v="120"/>
    <x v="23"/>
    <x v="0"/>
    <x v="70"/>
    <n v="611"/>
    <n v="50"/>
    <n v="79.430000000000007"/>
  </r>
  <r>
    <x v="121"/>
    <x v="30"/>
    <x v="1"/>
    <x v="71"/>
    <n v="440"/>
    <n v="50"/>
    <n v="57.2"/>
  </r>
  <r>
    <x v="122"/>
    <x v="8"/>
    <x v="2"/>
    <x v="72"/>
    <n v="397"/>
    <n v="0"/>
    <n v="31.76"/>
  </r>
  <r>
    <x v="123"/>
    <x v="25"/>
    <x v="3"/>
    <x v="73"/>
    <n v="589"/>
    <n v="25"/>
    <n v="76.570000000000007"/>
  </r>
  <r>
    <x v="124"/>
    <x v="28"/>
    <x v="4"/>
    <x v="74"/>
    <n v="660"/>
    <n v="50"/>
    <n v="85.8"/>
  </r>
  <r>
    <x v="125"/>
    <x v="23"/>
    <x v="0"/>
    <x v="75"/>
    <n v="828"/>
    <n v="0"/>
    <n v="107.64"/>
  </r>
  <r>
    <x v="126"/>
    <x v="14"/>
    <x v="1"/>
    <x v="76"/>
    <n v="203"/>
    <n v="50"/>
    <n v="16.240000000000002"/>
  </r>
  <r>
    <x v="127"/>
    <x v="26"/>
    <x v="2"/>
    <x v="77"/>
    <n v="168"/>
    <n v="25"/>
    <n v="8.4"/>
  </r>
  <r>
    <x v="128"/>
    <x v="14"/>
    <x v="3"/>
    <x v="78"/>
    <n v="233"/>
    <n v="0"/>
    <n v="18.64"/>
  </r>
  <r>
    <x v="129"/>
    <x v="30"/>
    <x v="4"/>
    <x v="79"/>
    <n v="716"/>
    <n v="0"/>
    <n v="93.08"/>
  </r>
  <r>
    <x v="130"/>
    <x v="11"/>
    <x v="0"/>
    <x v="80"/>
    <n v="496"/>
    <n v="50"/>
    <n v="64.48"/>
  </r>
  <r>
    <x v="131"/>
    <x v="9"/>
    <x v="1"/>
    <x v="81"/>
    <n v="627"/>
    <n v="0"/>
    <n v="81.510000000000005"/>
  </r>
  <r>
    <x v="132"/>
    <x v="30"/>
    <x v="2"/>
    <x v="82"/>
    <n v="457"/>
    <n v="50"/>
    <n v="59.410000000000004"/>
  </r>
  <r>
    <x v="133"/>
    <x v="12"/>
    <x v="3"/>
    <x v="83"/>
    <n v="697"/>
    <n v="50"/>
    <n v="90.61"/>
  </r>
  <r>
    <x v="134"/>
    <x v="10"/>
    <x v="4"/>
    <x v="84"/>
    <n v="519"/>
    <n v="0"/>
    <n v="67.47"/>
  </r>
  <r>
    <x v="135"/>
    <x v="21"/>
    <x v="0"/>
    <x v="85"/>
    <n v="290"/>
    <n v="25"/>
    <n v="23.2"/>
  </r>
  <r>
    <x v="136"/>
    <x v="1"/>
    <x v="1"/>
    <x v="86"/>
    <n v="539"/>
    <n v="50"/>
    <n v="70.070000000000007"/>
  </r>
  <r>
    <x v="137"/>
    <x v="21"/>
    <x v="2"/>
    <x v="87"/>
    <n v="487"/>
    <n v="25"/>
    <n v="63.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portCommissions" cacheId="1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3:G143" firstHeaderRow="1" firstDataRow="2" firstDataCol="3" rowPageCount="1" colPageCount="1"/>
  <pivotFields count="8">
    <pivotField axis="axisRow" compact="0" outline="0" showAll="0" defaultSubtotal="0">
      <items count="2484">
        <item m="1" x="2043"/>
        <item m="1" x="2117"/>
        <item m="1" x="1956"/>
        <item m="1" x="1579"/>
        <item m="1" x="817"/>
        <item m="1" x="458"/>
        <item m="1" x="499"/>
        <item m="1" x="628"/>
        <item m="1" x="2178"/>
        <item m="1" x="2190"/>
        <item m="1" x="2055"/>
        <item m="1" x="387"/>
        <item m="1" x="2096"/>
        <item m="1" x="339"/>
        <item m="1" x="1294"/>
        <item m="1" x="1367"/>
        <item m="1" x="1031"/>
        <item m="1" x="1317"/>
        <item m="1" x="1926"/>
        <item m="1" x="2343"/>
        <item m="1" x="1318"/>
        <item m="1" x="1838"/>
        <item m="1" x="572"/>
        <item m="1" x="1769"/>
        <item m="1" x="1045"/>
        <item m="1" x="758"/>
        <item m="1" x="1253"/>
        <item m="1" x="2281"/>
        <item m="1" x="327"/>
        <item m="1" x="143"/>
        <item m="1" x="1278"/>
        <item m="1" x="515"/>
        <item m="1" x="1487"/>
        <item m="1" x="1260"/>
        <item m="1" x="262"/>
        <item m="1" x="653"/>
        <item m="1" x="2219"/>
        <item m="1" x="1841"/>
        <item m="1" x="1999"/>
        <item m="1" x="440"/>
        <item m="1" x="1414"/>
        <item m="1" x="1712"/>
        <item m="1" x="2129"/>
        <item m="1" x="1111"/>
        <item m="1" x="961"/>
        <item m="1" x="443"/>
        <item m="1" x="1826"/>
        <item m="1" x="1580"/>
        <item m="1" x="2433"/>
        <item m="1" x="800"/>
        <item m="1" x="1164"/>
        <item m="1" x="858"/>
        <item m="1" x="815"/>
        <item m="1" x="735"/>
        <item m="1" x="1101"/>
        <item m="1" x="2149"/>
        <item m="1" x="2242"/>
        <item m="1" x="2099"/>
        <item m="1" x="2159"/>
        <item m="1" x="1121"/>
        <item m="1" x="522"/>
        <item m="1" x="1871"/>
        <item m="1" x="799"/>
        <item m="1" x="1003"/>
        <item m="1" x="280"/>
        <item m="1" x="2240"/>
        <item m="1" x="2367"/>
        <item m="1" x="2399"/>
        <item m="1" x="1629"/>
        <item m="1" x="624"/>
        <item m="1" x="1390"/>
        <item m="1" x="542"/>
        <item m="1" x="2404"/>
        <item m="1" x="1066"/>
        <item m="1" x="698"/>
        <item m="1" x="1303"/>
        <item m="1" x="2056"/>
        <item m="1" x="2139"/>
        <item m="1" x="138"/>
        <item m="1" x="1983"/>
        <item m="1" x="2079"/>
        <item m="1" x="866"/>
        <item m="1" x="207"/>
        <item m="1" x="614"/>
        <item m="1" x="1323"/>
        <item m="1" x="2347"/>
        <item m="1" x="2351"/>
        <item m="1" x="459"/>
        <item m="1" x="1949"/>
        <item m="1" x="2089"/>
        <item m="1" x="1546"/>
        <item m="1" x="1806"/>
        <item m="1" x="2041"/>
        <item m="1" x="699"/>
        <item m="1" x="2028"/>
        <item m="1" x="520"/>
        <item m="1" x="1438"/>
        <item m="1" x="547"/>
        <item m="1" x="1948"/>
        <item m="1" x="1980"/>
        <item m="1" x="736"/>
        <item m="1" x="1378"/>
        <item m="1" x="952"/>
        <item m="1" x="449"/>
        <item m="1" x="1446"/>
        <item m="1" x="2114"/>
        <item m="1" x="2199"/>
        <item m="1" x="2403"/>
        <item m="1" x="549"/>
        <item m="1" x="970"/>
        <item m="1" x="1773"/>
        <item m="1" x="483"/>
        <item m="1" x="1128"/>
        <item m="1" x="2084"/>
        <item m="1" x="940"/>
        <item m="1" x="598"/>
        <item m="1" x="791"/>
        <item m="1" x="670"/>
        <item m="1" x="2167"/>
        <item m="1" x="366"/>
        <item m="1" x="848"/>
        <item m="1" x="1307"/>
        <item m="1" x="1719"/>
        <item m="1" x="2323"/>
        <item m="1" x="900"/>
        <item m="1" x="2373"/>
        <item m="1" x="716"/>
        <item m="1" x="1279"/>
        <item m="1" x="1372"/>
        <item m="1" x="1895"/>
        <item m="1" x="1162"/>
        <item m="1" x="861"/>
        <item m="1" x="1615"/>
        <item m="1" x="239"/>
        <item m="1" x="599"/>
        <item m="1" x="2100"/>
        <item m="1" x="2197"/>
        <item m="1" x="1554"/>
        <item m="1" x="1733"/>
        <item m="1" x="923"/>
        <item m="1" x="1842"/>
        <item m="1" x="1908"/>
        <item m="1" x="1508"/>
        <item m="1" x="1472"/>
        <item m="1" x="1415"/>
        <item m="1" x="1041"/>
        <item m="1" x="2483"/>
        <item m="1" x="1642"/>
        <item m="1" x="978"/>
        <item m="1" x="152"/>
        <item m="1" x="733"/>
        <item m="1" x="908"/>
        <item m="1" x="345"/>
        <item m="1" x="272"/>
        <item m="1" x="810"/>
        <item m="1" x="1448"/>
        <item m="1" x="638"/>
        <item m="1" x="342"/>
        <item m="1" x="1276"/>
        <item m="1" x="836"/>
        <item m="1" x="2019"/>
        <item m="1" x="1385"/>
        <item m="1" x="1539"/>
        <item m="1" x="212"/>
        <item m="1" x="1585"/>
        <item m="1" x="317"/>
        <item m="1" x="2188"/>
        <item m="1" x="1780"/>
        <item m="1" x="2253"/>
        <item m="1" x="1055"/>
        <item m="1" x="1954"/>
        <item m="1" x="855"/>
        <item m="1" x="1089"/>
        <item m="1" x="408"/>
        <item m="1" x="2363"/>
        <item m="1" x="2220"/>
        <item m="1" x="209"/>
        <item m="1" x="2396"/>
        <item m="1" x="933"/>
        <item m="1" x="1186"/>
        <item m="1" x="525"/>
        <item m="1" x="1255"/>
        <item m="1" x="2198"/>
        <item m="1" x="2014"/>
        <item m="1" x="596"/>
        <item m="1" x="1819"/>
        <item m="1" x="1700"/>
        <item m="1" x="569"/>
        <item m="1" x="728"/>
        <item m="1" x="1345"/>
        <item m="1" x="1169"/>
        <item m="1" x="204"/>
        <item m="1" x="897"/>
        <item m="1" x="2264"/>
        <item m="1" x="210"/>
        <item m="1" x="672"/>
        <item m="1" x="2358"/>
        <item m="1" x="550"/>
        <item m="1" x="2103"/>
        <item m="1" x="1010"/>
        <item m="1" x="845"/>
        <item m="1" x="1026"/>
        <item m="1" x="1037"/>
        <item m="1" x="2461"/>
        <item m="1" x="217"/>
        <item m="1" x="2245"/>
        <item m="1" x="1078"/>
        <item m="1" x="1644"/>
        <item m="1" x="1969"/>
        <item m="1" x="1423"/>
        <item m="1" x="977"/>
        <item m="1" x="1179"/>
        <item m="1" x="367"/>
        <item m="1" x="649"/>
        <item m="1" x="248"/>
        <item m="1" x="1839"/>
        <item m="1" x="415"/>
        <item m="1" x="2260"/>
        <item m="1" x="1705"/>
        <item m="1" x="924"/>
        <item m="1" x="1203"/>
        <item m="1" x="2308"/>
        <item m="1" x="2192"/>
        <item m="1" x="2193"/>
        <item m="1" x="1322"/>
        <item m="1" x="1718"/>
        <item m="1" x="766"/>
        <item m="1" x="1737"/>
        <item m="1" x="1525"/>
        <item m="1" x="648"/>
        <item m="1" x="1990"/>
        <item m="1" x="469"/>
        <item m="1" x="554"/>
        <item m="1" x="2249"/>
        <item m="1" x="967"/>
        <item m="1" x="359"/>
        <item m="1" x="521"/>
        <item m="1" x="1516"/>
        <item m="1" x="302"/>
        <item m="1" x="2048"/>
        <item m="1" x="238"/>
        <item m="1" x="1775"/>
        <item m="1" x="1268"/>
        <item m="1" x="1811"/>
        <item m="1" x="1015"/>
        <item m="1" x="1190"/>
        <item m="1" x="194"/>
        <item m="1" x="256"/>
        <item m="1" x="577"/>
        <item m="1" x="303"/>
        <item m="1" x="2195"/>
        <item m="1" x="555"/>
        <item m="1" x="235"/>
        <item m="1" x="2459"/>
        <item m="1" x="226"/>
        <item m="1" x="773"/>
        <item m="1" x="1648"/>
        <item m="1" x="2413"/>
        <item m="1" x="567"/>
        <item m="1" x="1678"/>
        <item m="1" x="1709"/>
        <item m="1" x="1130"/>
        <item m="1" x="1869"/>
        <item m="1" x="314"/>
        <item m="1" x="1132"/>
        <item m="1" x="2134"/>
        <item m="1" x="1226"/>
        <item m="1" x="585"/>
        <item m="1" x="1565"/>
        <item m="1" x="669"/>
        <item m="1" x="1777"/>
        <item m="1" x="464"/>
        <item m="1" x="760"/>
        <item m="1" x="312"/>
        <item m="1" x="1038"/>
        <item m="1" x="1796"/>
        <item m="1" x="856"/>
        <item m="1" x="1896"/>
        <item m="1" x="938"/>
        <item m="1" x="839"/>
        <item m="1" x="1320"/>
        <item m="1" x="1340"/>
        <item m="1" x="414"/>
        <item m="1" x="2330"/>
        <item m="1" x="2052"/>
        <item m="1" x="284"/>
        <item m="1" x="463"/>
        <item m="1" x="560"/>
        <item m="1" x="626"/>
        <item m="1" x="1584"/>
        <item m="1" x="691"/>
        <item m="1" x="1917"/>
        <item m="1" x="2415"/>
        <item m="1" x="151"/>
        <item m="1" x="1092"/>
        <item m="1" x="1551"/>
        <item m="1" x="2454"/>
        <item m="1" x="1497"/>
        <item m="1" x="240"/>
        <item m="1" x="2176"/>
        <item m="1" x="2115"/>
        <item m="1" x="2259"/>
        <item m="1" x="2049"/>
        <item m="1" x="1651"/>
        <item m="1" x="1258"/>
        <item m="1" x="1411"/>
        <item m="1" x="2397"/>
        <item m="1" x="1742"/>
        <item m="1" x="1009"/>
        <item m="1" x="2288"/>
        <item m="1" x="1779"/>
        <item m="1" x="508"/>
        <item m="1" x="2031"/>
        <item m="1" x="2301"/>
        <item m="1" x="2420"/>
        <item m="1" x="1736"/>
        <item m="1" x="1221"/>
        <item m="1" x="1406"/>
        <item m="1" x="696"/>
        <item m="1" x="957"/>
        <item m="1" x="2021"/>
        <item m="1" x="1407"/>
        <item m="1" x="1108"/>
        <item m="1" x="1006"/>
        <item m="1" x="144"/>
        <item m="1" x="1645"/>
        <item m="1" x="258"/>
        <item m="1" x="1664"/>
        <item m="1" x="150"/>
        <item m="1" x="319"/>
        <item m="1" x="245"/>
        <item m="1" x="1402"/>
        <item m="1" x="1052"/>
        <item m="1" x="394"/>
        <item m="1" x="2030"/>
        <item m="1" x="1959"/>
        <item m="1" x="1748"/>
        <item m="1" x="2009"/>
        <item m="1" x="2168"/>
        <item m="1" x="1224"/>
        <item m="1" x="1882"/>
        <item m="1" x="911"/>
        <item m="1" x="1957"/>
        <item m="1" x="823"/>
        <item m="1" x="2040"/>
        <item m="1" x="1502"/>
        <item m="1" x="488"/>
        <item m="1" x="2300"/>
        <item m="1" x="381"/>
        <item m="1" x="2016"/>
        <item m="1" x="888"/>
        <item m="1" x="1093"/>
        <item m="1" x="1570"/>
        <item m="1" x="489"/>
        <item m="1" x="1468"/>
        <item m="1" x="1793"/>
        <item m="1" x="1172"/>
        <item m="1" x="494"/>
        <item m="1" x="994"/>
        <item m="1" x="492"/>
        <item m="1" x="1454"/>
        <item m="1" x="818"/>
        <item m="1" x="2068"/>
        <item m="1" x="1778"/>
        <item m="1" x="663"/>
        <item m="1" x="2026"/>
        <item m="1" x="1104"/>
        <item m="1" x="250"/>
        <item m="1" x="165"/>
        <item m="1" x="1439"/>
        <item m="1" x="1433"/>
        <item m="1" x="1286"/>
        <item m="1" x="1105"/>
        <item m="1" x="2386"/>
        <item m="1" x="255"/>
        <item m="1" x="1212"/>
        <item m="1" x="662"/>
        <item m="1" x="343"/>
        <item m="1" x="1803"/>
        <item m="1" x="1852"/>
        <item m="1" x="2061"/>
        <item m="1" x="771"/>
        <item m="1" x="1059"/>
        <item m="1" x="2407"/>
        <item m="1" x="2465"/>
        <item m="1" x="1240"/>
        <item m="1" x="1335"/>
        <item m="1" x="610"/>
        <item m="1" x="1254"/>
        <item m="1" x="973"/>
        <item m="1" x="1136"/>
        <item m="1" x="795"/>
        <item m="1" x="807"/>
        <item m="1" x="438"/>
        <item m="1" x="860"/>
        <item m="1" x="290"/>
        <item m="1" x="196"/>
        <item m="1" x="161"/>
        <item m="1" x="1157"/>
        <item m="1" x="2291"/>
        <item m="1" x="2446"/>
        <item m="1" x="1792"/>
        <item m="1" x="2458"/>
        <item m="1" x="1488"/>
        <item m="1" x="1247"/>
        <item m="1" x="962"/>
        <item m="1" x="1967"/>
        <item m="1" x="1298"/>
        <item m="1" x="932"/>
        <item m="1" x="1401"/>
        <item m="1" x="2083"/>
        <item m="1" x="2385"/>
        <item m="1" x="1490"/>
        <item m="1" x="797"/>
        <item m="1" x="149"/>
        <item m="1" x="761"/>
        <item m="1" x="2101"/>
        <item m="1" x="328"/>
        <item m="1" x="879"/>
        <item m="1" x="1894"/>
        <item m="1" x="2244"/>
        <item m="1" x="891"/>
        <item m="1" x="2293"/>
        <item m="1" x="798"/>
        <item m="1" x="1599"/>
        <item m="1" x="1863"/>
        <item m="1" x="1531"/>
        <item m="1" x="2038"/>
        <item m="1" x="710"/>
        <item m="1" x="147"/>
        <item m="1" x="546"/>
        <item m="1" x="1697"/>
        <item m="1" x="1744"/>
        <item m="1" x="140"/>
        <item m="1" x="594"/>
        <item m="1" x="1812"/>
        <item m="1" x="720"/>
        <item m="1" x="1788"/>
        <item m="1" x="442"/>
        <item m="1" x="177"/>
        <item m="1" x="406"/>
        <item m="1" x="2076"/>
        <item m="1" x="346"/>
        <item m="1" x="389"/>
        <item m="1" x="574"/>
        <item m="1" x="786"/>
        <item m="1" x="1316"/>
        <item m="1" x="1731"/>
        <item m="1" x="270"/>
        <item m="1" x="2187"/>
        <item m="1" x="1574"/>
        <item m="1" x="2336"/>
        <item m="1" x="1233"/>
        <item m="1" x="260"/>
        <item m="1" x="1156"/>
        <item m="1" x="2002"/>
        <item m="1" x="1175"/>
        <item m="1" x="737"/>
        <item m="1" x="1355"/>
        <item m="1" x="1170"/>
        <item m="1" x="278"/>
        <item m="1" x="471"/>
        <item m="1" x="2440"/>
        <item m="1" x="2254"/>
        <item m="1" x="289"/>
        <item m="1" x="2148"/>
        <item m="1" x="1442"/>
        <item m="1" x="1063"/>
        <item m="1" x="1501"/>
        <item m="1" x="2297"/>
        <item m="1" x="465"/>
        <item m="1" x="838"/>
        <item m="1" x="2128"/>
        <item m="1" x="894"/>
        <item m="1" x="1929"/>
        <item m="1" x="190"/>
        <item m="1" x="1623"/>
        <item m="1" x="2215"/>
        <item m="1" x="432"/>
        <item m="1" x="351"/>
        <item m="1" x="1107"/>
        <item m="1" x="1569"/>
        <item m="1" x="1893"/>
        <item m="1" x="505"/>
        <item m="1" x="1398"/>
        <item m="1" x="1900"/>
        <item m="1" x="749"/>
        <item m="1" x="1833"/>
        <item m="1" x="2451"/>
        <item m="1" x="708"/>
        <item m="1" x="905"/>
        <item m="1" x="405"/>
        <item m="1" x="2355"/>
        <item m="1" x="2389"/>
        <item m="1" x="1139"/>
        <item m="1" x="2032"/>
        <item m="1" x="601"/>
        <item m="1" x="2229"/>
        <item m="1" x="233"/>
        <item m="1" x="1524"/>
        <item m="1" x="853"/>
        <item m="1" x="2004"/>
        <item m="1" x="1974"/>
        <item m="1" x="1827"/>
        <item m="1" x="1522"/>
        <item m="1" x="1675"/>
        <item m="1" x="363"/>
        <item m="1" x="747"/>
        <item m="1" x="1617"/>
        <item m="1" x="1660"/>
        <item m="1" x="2123"/>
        <item m="1" x="197"/>
        <item m="1" x="1873"/>
        <item m="1" x="1151"/>
        <item m="1" x="2051"/>
        <item m="1" x="1690"/>
        <item m="1" x="1879"/>
        <item m="1" x="590"/>
        <item m="1" x="625"/>
        <item m="1" x="695"/>
        <item m="1" x="2020"/>
        <item m="1" x="2319"/>
        <item m="1" x="719"/>
        <item m="1" x="1621"/>
        <item m="1" x="914"/>
        <item m="1" x="222"/>
        <item m="1" x="1430"/>
        <item m="1" x="230"/>
        <item m="1" x="1368"/>
        <item m="1" x="2460"/>
        <item m="1" x="884"/>
        <item m="1" x="1710"/>
        <item m="1" x="332"/>
        <item m="1" x="2224"/>
        <item m="1" x="1397"/>
        <item m="1" x="1494"/>
        <item m="1" x="709"/>
        <item m="1" x="1492"/>
        <item m="1" x="1857"/>
        <item m="1" x="2175"/>
        <item m="1" x="2001"/>
        <item m="1" x="2471"/>
        <item m="1" x="739"/>
        <item m="1" x="1467"/>
        <item m="1" x="2275"/>
        <item m="1" x="142"/>
        <item m="1" x="1356"/>
        <item m="1" x="785"/>
        <item m="1" x="512"/>
        <item m="1" x="1393"/>
        <item m="1" x="1011"/>
        <item m="1" x="279"/>
        <item m="1" x="1560"/>
        <item m="1" x="1955"/>
        <item m="1" x="1903"/>
        <item m="1" x="1012"/>
        <item m="1" x="377"/>
        <item m="1" x="1149"/>
        <item m="1" x="1591"/>
        <item m="1" x="1503"/>
        <item m="1" x="2012"/>
        <item m="1" x="2238"/>
        <item m="1" x="1141"/>
        <item m="1" x="1456"/>
        <item m="1" x="1816"/>
        <item m="1" x="882"/>
        <item m="1" x="2135"/>
        <item m="1" x="1194"/>
        <item m="1" x="917"/>
        <item m="1" x="1409"/>
        <item m="1" x="158"/>
        <item m="1" x="193"/>
        <item m="1" x="422"/>
        <item m="1" x="1049"/>
        <item m="1" x="1847"/>
        <item m="1" x="1604"/>
        <item m="1" x="1419"/>
        <item m="1" x="1144"/>
        <item m="1" x="1205"/>
        <item m="1" x="1543"/>
        <item m="1" x="1595"/>
        <item m="1" x="400"/>
        <item m="1" x="545"/>
        <item m="1" x="870"/>
        <item m="1" x="1686"/>
        <item m="1" x="1844"/>
        <item m="1" x="453"/>
        <item m="1" x="1702"/>
        <item m="1" x="676"/>
        <item m="1" x="1587"/>
        <item m="1" x="1180"/>
        <item m="1" x="954"/>
        <item m="1" x="681"/>
        <item m="1" x="1722"/>
        <item m="1" x="1616"/>
        <item m="1" x="2045"/>
        <item m="1" x="1118"/>
        <item m="1" x="1096"/>
        <item m="1" x="1607"/>
        <item m="1" x="1845"/>
        <item m="1" x="859"/>
        <item m="1" x="457"/>
        <item m="1" x="2034"/>
        <item m="1" x="683"/>
        <item m="1" x="2261"/>
        <item m="1" x="1471"/>
        <item m="1" x="2116"/>
        <item m="1" x="354"/>
        <item m="1" x="2382"/>
        <item m="1" x="1302"/>
        <item m="1" x="821"/>
        <item m="1" x="762"/>
        <item m="1" x="834"/>
        <item m="1" x="490"/>
        <item m="1" x="582"/>
        <item m="1" x="1498"/>
        <item m="1" x="781"/>
        <item m="1" x="2133"/>
        <item m="1" x="778"/>
        <item m="1" x="1573"/>
        <item m="1" x="1542"/>
        <item m="1" x="1216"/>
        <item m="1" x="1427"/>
        <item m="1" x="925"/>
        <item m="1" x="1867"/>
        <item m="1" x="1634"/>
        <item m="1" x="1195"/>
        <item m="1" x="1027"/>
        <item m="1" x="2000"/>
        <item m="1" x="419"/>
        <item m="1" x="826"/>
        <item m="1" x="309"/>
        <item m="1" x="2059"/>
        <item m="1" x="530"/>
        <item m="1" x="912"/>
        <item m="1" x="675"/>
        <item m="1" x="482"/>
        <item m="1" x="421"/>
        <item m="1" x="267"/>
        <item m="1" x="2273"/>
        <item m="1" x="659"/>
        <item m="1" x="1353"/>
        <item m="1" x="486"/>
        <item m="1" x="2424"/>
        <item m="1" x="395"/>
        <item m="1" x="2118"/>
        <item m="1" x="534"/>
        <item m="1" x="1829"/>
        <item m="1" x="993"/>
        <item m="1" x="291"/>
        <item m="1" x="612"/>
        <item m="1" x="650"/>
        <item m="1" x="1716"/>
        <item m="1" x="1781"/>
        <item m="1" x="360"/>
        <item m="1" x="1191"/>
        <item m="1" x="1944"/>
        <item m="1" x="1610"/>
        <item m="1" x="182"/>
        <item m="1" x="306"/>
        <item m="1" x="559"/>
        <item m="1" x="491"/>
        <item m="1" x="579"/>
        <item m="1" x="1484"/>
        <item m="1" x="2365"/>
        <item m="1" x="2320"/>
        <item m="1" x="1147"/>
        <item m="1" x="2333"/>
        <item m="1" x="2431"/>
        <item m="1" x="1547"/>
        <item m="1" x="2150"/>
        <item m="1" x="2201"/>
        <item m="1" x="1538"/>
        <item m="1" x="1622"/>
        <item m="1" x="294"/>
        <item m="1" x="636"/>
        <item m="1" x="1371"/>
        <item m="1" x="437"/>
        <item m="1" x="145"/>
        <item m="1" x="2203"/>
        <item m="1" x="1832"/>
        <item m="1" x="1755"/>
        <item m="1" x="1462"/>
        <item m="1" x="620"/>
        <item m="1" x="460"/>
        <item m="1" x="541"/>
        <item m="1" x="1129"/>
        <item m="1" x="2146"/>
        <item m="1" x="671"/>
        <item m="1" x="2469"/>
        <item m="1" x="2060"/>
        <item m="1" x="2368"/>
        <item m="1" x="2121"/>
        <item m="1" x="166"/>
        <item m="1" x="1583"/>
        <item m="1" x="831"/>
        <item m="1" x="1713"/>
        <item m="1" x="1269"/>
        <item m="1" x="692"/>
        <item m="1" x="244"/>
        <item m="1" x="1458"/>
        <item m="1" x="1048"/>
        <item m="1" x="1312"/>
        <item m="1" x="509"/>
        <item m="1" x="1083"/>
        <item m="1" x="731"/>
        <item m="1" x="223"/>
        <item m="1" x="575"/>
        <item m="1" x="777"/>
        <item m="1" x="1677"/>
        <item m="1" x="621"/>
        <item m="1" x="1628"/>
        <item m="1" x="313"/>
        <item m="1" x="1807"/>
        <item m="1" x="1404"/>
        <item m="1" x="1549"/>
        <item m="1" x="2057"/>
        <item m="1" x="2381"/>
        <item m="1" x="1047"/>
        <item m="1" x="407"/>
        <item m="1" x="1230"/>
        <item m="1" x="2321"/>
        <item m="1" x="2478"/>
        <item m="1" x="2092"/>
        <item m="1" x="517"/>
        <item m="1" x="934"/>
        <item m="1" x="951"/>
        <item m="1" x="1295"/>
        <item m="1" x="2233"/>
        <item m="1" x="1506"/>
        <item m="1" x="568"/>
        <item m="1" x="2212"/>
        <item m="1" x="180"/>
        <item m="1" x="329"/>
        <item m="1" x="904"/>
        <item m="1" x="2437"/>
        <item m="1" x="252"/>
        <item m="1" x="1600"/>
        <item m="1" x="703"/>
        <item m="1" x="863"/>
        <item m="1" x="2202"/>
        <item m="1" x="841"/>
        <item m="1" x="2262"/>
        <item m="1" x="1952"/>
        <item m="1" x="2379"/>
        <item m="1" x="1632"/>
        <item m="1" x="1701"/>
        <item m="1" x="2282"/>
        <item m="1" x="1491"/>
        <item m="1" x="2025"/>
        <item m="1" x="1450"/>
        <item m="1" x="334"/>
        <item m="1" x="2427"/>
        <item m="1" x="2082"/>
        <item m="1" x="1550"/>
        <item m="1" x="1173"/>
        <item m="1" x="1752"/>
        <item m="1" x="378"/>
        <item m="1" x="333"/>
        <item m="1" x="1373"/>
        <item m="1" x="1721"/>
        <item m="1" x="2074"/>
        <item m="1" x="635"/>
        <item m="1" x="1005"/>
        <item m="1" x="1359"/>
        <item m="1" x="1211"/>
        <item m="1" x="2473"/>
        <item m="1" x="159"/>
        <item m="1" x="1578"/>
        <item m="1" x="487"/>
        <item m="1" x="750"/>
        <item m="1" x="2102"/>
        <item m="1" x="2412"/>
        <item m="1" x="578"/>
        <item m="1" x="2270"/>
        <item m="1" x="356"/>
        <item m="1" x="390"/>
        <item m="1" x="2312"/>
        <item m="1" x="1756"/>
        <item m="1" x="2207"/>
        <item m="1" x="2442"/>
        <item m="1" x="1441"/>
        <item m="1" x="2120"/>
        <item m="1" x="1263"/>
        <item m="1" x="2324"/>
        <item m="1" x="1612"/>
        <item m="1" x="1984"/>
        <item m="1" x="2418"/>
        <item m="1" x="2081"/>
        <item m="1" x="754"/>
        <item m="1" x="1764"/>
        <item m="1" x="717"/>
        <item m="1" x="2247"/>
        <item m="1" x="271"/>
        <item m="1" x="1714"/>
        <item m="1" x="1650"/>
        <item m="1" x="2438"/>
        <item m="1" x="2328"/>
        <item m="1" x="2298"/>
        <item m="1" x="1966"/>
        <item m="1" x="1979"/>
        <item m="1" x="2186"/>
        <item m="1" x="1770"/>
        <item m="1" x="1020"/>
        <item m="1" x="1864"/>
        <item m="1" x="809"/>
        <item m="1" x="2430"/>
        <item m="1" x="1265"/>
        <item m="1" x="410"/>
        <item m="1" x="757"/>
        <item m="1" x="1146"/>
        <item m="1" x="640"/>
        <item m="1" x="1002"/>
        <item m="1" x="2107"/>
        <item m="1" x="1925"/>
        <item m="1" x="1572"/>
        <item m="1" x="2232"/>
        <item m="1" x="842"/>
        <item m="1" x="493"/>
        <item m="1" x="895"/>
        <item m="1" x="712"/>
        <item m="1" x="2125"/>
        <item m="1" x="2109"/>
        <item m="1" x="1741"/>
        <item m="1" x="370"/>
        <item m="1" x="1753"/>
        <item m="1" x="682"/>
        <item m="1" x="473"/>
        <item m="1" x="1329"/>
        <item m="1" x="1060"/>
        <item m="1" x="373"/>
        <item m="1" x="607"/>
        <item m="1" x="2374"/>
        <item m="1" x="1774"/>
        <item m="1" x="701"/>
        <item m="1" x="2108"/>
        <item m="1" x="702"/>
        <item m="1" x="2225"/>
        <item m="1" x="2272"/>
        <item m="1" x="1598"/>
        <item m="1" x="1521"/>
        <item m="1" x="507"/>
        <item m="1" x="368"/>
        <item m="1" x="1689"/>
        <item m="1" x="2359"/>
        <item m="1" x="1099"/>
        <item m="1" x="1810"/>
        <item m="1" x="979"/>
        <item m="1" x="1919"/>
        <item m="1" x="2112"/>
        <item m="1" x="409"/>
        <item m="1" x="1936"/>
        <item m="1" x="529"/>
        <item m="1" x="571"/>
        <item m="1" x="2428"/>
        <item m="1" x="2184"/>
        <item m="1" x="1576"/>
        <item m="1" x="1275"/>
        <item m="1" x="1068"/>
        <item m="1" x="1470"/>
        <item m="1" x="1924"/>
        <item m="1" x="1683"/>
        <item m="1" x="2447"/>
        <item m="1" x="1332"/>
        <item m="1" x="208"/>
        <item m="1" x="391"/>
        <item m="1" x="2044"/>
        <item m="1" x="1562"/>
        <item m="1" x="1453"/>
        <item m="1" x="942"/>
        <item m="1" x="633"/>
        <item m="1" x="1485"/>
        <item m="1" x="1496"/>
        <item m="1" x="2078"/>
        <item m="1" x="237"/>
        <item m="1" x="2400"/>
        <item m="1" x="790"/>
        <item m="1" x="456"/>
        <item m="1" x="2087"/>
        <item m="1" x="864"/>
        <item m="1" x="1523"/>
        <item m="1" x="1937"/>
        <item m="1" x="2234"/>
        <item m="1" x="1849"/>
        <item m="1" x="1109"/>
        <item m="1" x="674"/>
        <item m="1" x="1534"/>
        <item m="1" x="946"/>
        <item m="1" x="1183"/>
        <item m="1" x="1292"/>
        <item m="1" x="261"/>
        <item m="1" x="286"/>
        <item m="1" x="936"/>
        <item m="1" x="1399"/>
        <item m="1" x="1890"/>
        <item m="1" x="1381"/>
        <item m="1" x="927"/>
        <item m="1" x="2467"/>
        <item m="1" x="1931"/>
        <item m="1" x="1766"/>
        <item m="1" x="528"/>
        <item m="1" x="1915"/>
        <item m="1" x="784"/>
        <item m="1" x="1759"/>
        <item m="1" x="1297"/>
        <item m="1" x="2170"/>
        <item m="1" x="981"/>
        <item m="1" x="1783"/>
        <item m="1" x="523"/>
        <item m="1" x="1030"/>
        <item m="1" x="1239"/>
        <item m="1" x="2383"/>
        <item m="1" x="1828"/>
        <item m="1" x="688"/>
        <item m="1" x="1940"/>
        <item m="1" x="1051"/>
        <item m="1" x="1351"/>
        <item m="1" x="2211"/>
        <item m="1" x="1571"/>
        <item m="1" x="875"/>
        <item m="1" x="2417"/>
        <item m="1" x="2306"/>
        <item m="1" x="1352"/>
        <item m="1" x="2131"/>
        <item m="1" x="2470"/>
        <item m="1" x="1548"/>
        <item m="1" x="2162"/>
        <item m="1" x="1004"/>
        <item m="1" x="1339"/>
        <item m="1" x="1245"/>
        <item m="1" x="2256"/>
        <item m="1" x="167"/>
        <item m="1" x="2126"/>
        <item m="1" x="2221"/>
        <item m="1" x="146"/>
        <item m="1" x="1881"/>
        <item m="1" x="1761"/>
        <item m="1" x="673"/>
        <item m="1" x="2371"/>
        <item m="1" x="639"/>
        <item m="1" x="684"/>
        <item m="1" x="1808"/>
        <item m="1" x="1074"/>
        <item m="1" x="1429"/>
        <item m="1" x="1817"/>
        <item m="1" x="398"/>
        <item m="1" x="1244"/>
        <item m="1" x="1512"/>
        <item m="1" x="605"/>
        <item m="1" x="1499"/>
        <item m="1" x="2252"/>
        <item m="1" x="172"/>
        <item m="1" x="730"/>
        <item m="1" x="2393"/>
        <item m="1" x="2302"/>
        <item m="1" x="2172"/>
        <item m="1" x="1270"/>
        <item m="1" x="715"/>
        <item m="1" x="2006"/>
        <item m="1" x="1973"/>
        <item m="1" x="1007"/>
        <item m="1" x="647"/>
        <item m="1" x="2391"/>
        <item m="1" x="1771"/>
        <item m="1" x="2098"/>
        <item m="1" x="1032"/>
        <item m="1" x="943"/>
        <item m="1" x="580"/>
        <item m="1" x="668"/>
        <item m="1" x="1688"/>
        <item m="1" x="163"/>
        <item m="1" x="1090"/>
        <item m="1" x="514"/>
        <item m="1" x="2422"/>
        <item m="1" x="225"/>
        <item m="1" x="566"/>
        <item m="1" x="974"/>
        <item m="1" x="1152"/>
        <item m="1" x="2160"/>
        <item m="1" x="847"/>
        <item m="1" x="929"/>
        <item m="1" x="228"/>
        <item m="1" x="297"/>
        <item m="1" x="1970"/>
        <item m="1" x="1016"/>
        <item m="1" x="1112"/>
        <item m="1" x="2191"/>
        <item m="1" x="1034"/>
        <item m="1" x="1285"/>
        <item m="1" x="229"/>
        <item m="1" x="1590"/>
        <item m="1" x="608"/>
        <item m="1" x="802"/>
        <item m="1" x="825"/>
        <item m="1" x="727"/>
        <item m="1" x="2204"/>
        <item m="1" x="1021"/>
        <item m="1" x="645"/>
        <item m="1" x="1122"/>
        <item m="1" x="2206"/>
        <item m="1" x="321"/>
        <item m="1" x="1665"/>
        <item m="1" x="1227"/>
        <item m="1" x="1674"/>
        <item m="1" x="1039"/>
        <item m="1" x="1324"/>
        <item m="1" x="552"/>
        <item m="1" x="1647"/>
        <item m="1" x="986"/>
        <item m="1" x="956"/>
        <item m="1" x="1019"/>
        <item m="1" x="2457"/>
        <item m="1" x="511"/>
        <item m="1" x="1507"/>
        <item m="1" x="1603"/>
        <item m="1" x="1905"/>
        <item m="1" x="403"/>
        <item m="1" x="2077"/>
        <item m="1" x="1123"/>
        <item m="1" x="987"/>
        <item m="1" x="1556"/>
        <item m="1" x="1392"/>
        <item m="1" x="1735"/>
        <item m="1" x="1085"/>
        <item m="1" x="949"/>
        <item m="1" x="1613"/>
        <item m="1" x="205"/>
        <item m="1" x="247"/>
        <item m="1" x="1311"/>
        <item m="1" x="1918"/>
        <item m="1" x="1277"/>
        <item m="1" x="310"/>
        <item m="1" x="264"/>
        <item m="1" x="2153"/>
        <item m="1" x="2119"/>
        <item m="1" x="1018"/>
        <item m="1" x="1865"/>
        <item m="1" x="1256"/>
        <item m="1" x="883"/>
        <item m="1" x="1813"/>
        <item m="1" x="1930"/>
        <item m="1" x="948"/>
        <item m="1" x="295"/>
        <item m="1" x="1091"/>
        <item m="1" x="531"/>
        <item m="1" x="857"/>
        <item m="1" x="1182"/>
        <item m="1" x="705"/>
        <item m="1" x="1561"/>
        <item m="1" x="2278"/>
        <item m="1" x="2348"/>
        <item m="1" x="2064"/>
        <item m="1" x="1593"/>
        <item m="1" x="2010"/>
        <item m="1" x="889"/>
        <item m="1" x="1563"/>
        <item m="1" x="583"/>
        <item m="1" x="448"/>
        <item m="1" x="1750"/>
        <item m="1" x="1961"/>
        <item m="1" x="1449"/>
        <item m="1" x="1290"/>
        <item m="1" x="1115"/>
        <item m="1" x="1463"/>
        <item m="1" x="141"/>
        <item m="1" x="341"/>
        <item m="1" x="2251"/>
        <item m="1" x="2227"/>
        <item m="1" x="420"/>
        <item m="1" x="1410"/>
        <item m="1" x="183"/>
        <item m="1" x="169"/>
        <item m="1" x="1535"/>
        <item m="1" x="1743"/>
        <item m="1" x="2246"/>
        <item m="1" x="966"/>
        <item m="1" x="896"/>
        <item m="1" x="1379"/>
        <item m="1" x="1431"/>
        <item m="1" x="969"/>
        <item m="1" x="344"/>
        <item m="1" x="1738"/>
        <item m="1" x="539"/>
        <item m="1" x="1299"/>
        <item m="1" x="893"/>
        <item m="1" x="835"/>
        <item m="1" x="898"/>
        <item m="1" x="1875"/>
        <item m="1" x="909"/>
        <item m="1" x="353"/>
        <item m="1" x="2377"/>
        <item m="1" x="1596"/>
        <item m="1" x="1161"/>
        <item m="1" x="666"/>
        <item m="1" x="1745"/>
        <item m="1" x="2196"/>
        <item m="1" x="1177"/>
        <item m="1" x="1724"/>
        <item m="1" x="2303"/>
        <item m="1" x="1422"/>
        <item m="1" x="890"/>
        <item m="1" x="2241"/>
        <item m="1" x="1575"/>
        <item m="1" x="1964"/>
        <item m="1" x="996"/>
        <item m="1" x="1181"/>
        <item m="1" x="1667"/>
        <item m="1" x="849"/>
        <item m="1" x="1527"/>
        <item m="1" x="470"/>
        <item m="1" x="266"/>
        <item m="1" x="916"/>
        <item m="1" x="428"/>
        <item m="1" x="2250"/>
        <item m="1" x="1225"/>
        <item m="1" x="2024"/>
        <item m="1" x="1330"/>
        <item m="1" x="1187"/>
        <item m="1" x="745"/>
        <item m="1" x="318"/>
        <item m="1" x="1327"/>
        <item m="1" x="714"/>
        <item m="1" x="1885"/>
        <item m="1" x="2127"/>
        <item m="1" x="1633"/>
        <item m="1" x="1148"/>
        <item m="1" x="2180"/>
        <item m="1" x="2033"/>
        <item m="1" x="1609"/>
        <item m="1" x="1840"/>
        <item m="1" x="2137"/>
        <item m="1" x="1630"/>
        <item m="1" x="2091"/>
        <item m="1" x="1185"/>
        <item m="1" x="1725"/>
        <item m="1" x="1347"/>
        <item m="1" x="2075"/>
        <item m="1" x="1408"/>
        <item m="1" x="1880"/>
        <item m="1" x="1022"/>
        <item m="1" x="1627"/>
        <item m="1" x="1934"/>
        <item m="1" x="1464"/>
        <item m="1" x="2216"/>
        <item m="1" x="677"/>
        <item m="1" x="931"/>
        <item m="1" x="201"/>
        <item m="1" x="805"/>
        <item m="1" x="837"/>
        <item m="1" x="880"/>
        <item m="1" x="1805"/>
        <item m="1" x="1997"/>
        <item m="1" x="533"/>
        <item m="1" x="1639"/>
        <item m="1" x="1772"/>
        <item m="1" x="227"/>
        <item m="1" x="2269"/>
        <item m="1" x="335"/>
        <item m="1" x="1435"/>
        <item m="1" x="824"/>
        <item m="1" x="1515"/>
        <item m="1" x="503"/>
        <item m="1" x="2267"/>
        <item m="1" x="203"/>
        <item m="1" x="371"/>
        <item m="1" x="1163"/>
        <item m="1" x="606"/>
        <item m="1" x="744"/>
        <item m="1" x="1856"/>
        <item m="1" x="2480"/>
        <item m="1" x="1670"/>
        <item m="1" x="593"/>
        <item m="1" x="1614"/>
        <item m="1" x="723"/>
        <item m="1" x="1877"/>
        <item m="1" x="298"/>
        <item m="1" x="783"/>
        <item m="1" x="1198"/>
        <item m="1" x="1125"/>
        <item m="1" x="595"/>
        <item m="1" x="1887"/>
        <item m="1" x="1042"/>
        <item m="1" x="1114"/>
        <item m="1" x="2364"/>
        <item m="1" x="1495"/>
        <item m="1" x="995"/>
        <item m="1" x="2042"/>
        <item m="1" x="275"/>
        <item m="1" x="358"/>
        <item m="1" x="2022"/>
        <item m="1" x="1942"/>
        <item m="1" x="1460"/>
        <item m="1" x="2375"/>
        <item m="1" x="644"/>
        <item m="1" x="1336"/>
        <item m="1" x="843"/>
        <item m="1" x="1624"/>
        <item m="1" x="444"/>
        <item m="1" x="1789"/>
        <item m="1" x="2035"/>
        <item m="1" x="2086"/>
        <item m="1" x="1310"/>
        <item m="1" x="2445"/>
        <item m="1" x="1728"/>
        <item m="1" x="330"/>
        <item m="1" x="1729"/>
        <item m="1" x="1907"/>
        <item m="1" x="2085"/>
        <item m="1" x="198"/>
        <item m="1" x="2287"/>
        <item m="1" x="1413"/>
        <item m="1" x="2183"/>
        <item m="1" x="851"/>
        <item m="1" x="658"/>
        <item m="1" x="191"/>
        <item m="1" x="921"/>
        <item m="1" x="1215"/>
        <item m="1" x="1420"/>
        <item m="1" x="265"/>
        <item m="1" x="1794"/>
        <item m="1" x="1640"/>
        <item m="1" x="1361"/>
        <item m="1" x="1477"/>
        <item m="1" x="396"/>
        <item m="1" x="2239"/>
        <item m="1" x="693"/>
        <item m="1" x="1586"/>
        <item m="1" x="1814"/>
        <item m="1" x="1646"/>
        <item m="1" x="1065"/>
        <item m="1" x="1659"/>
        <item m="1" x="423"/>
        <item m="1" x="1870"/>
        <item m="1" x="926"/>
        <item m="1" x="1159"/>
        <item m="1" x="602"/>
        <item m="1" x="1479"/>
        <item m="1" x="2356"/>
        <item m="1" x="1928"/>
        <item m="1" x="1809"/>
        <item m="1" x="725"/>
        <item m="1" x="865"/>
        <item m="1" x="930"/>
        <item m="1" x="234"/>
        <item m="1" x="2235"/>
        <item m="1" x="1482"/>
        <item m="1" x="928"/>
        <item m="1" x="1947"/>
        <item m="1" x="1588"/>
        <item m="1" x="1237"/>
        <item m="1" x="480"/>
        <item m="1" x="171"/>
        <item m="1" x="274"/>
        <item m="1" x="1383"/>
        <item m="1" x="1911"/>
        <item m="1" x="436"/>
        <item m="1" x="1142"/>
        <item m="1" x="1553"/>
        <item m="1" x="782"/>
        <item m="1" x="1921"/>
        <item m="1" x="337"/>
        <item m="1" x="2147"/>
        <item m="1" x="1888"/>
        <item m="1" x="902"/>
        <item m="1" x="619"/>
        <item m="1" x="1663"/>
        <item m="1" x="1377"/>
        <item m="1" x="1251"/>
        <item m="1" x="2165"/>
        <item m="1" x="1996"/>
        <item m="1" x="808"/>
        <item m="1" x="1150"/>
        <item m="1" x="254"/>
        <item m="1" x="2334"/>
        <item m="1" x="611"/>
        <item m="1" x="170"/>
        <item m="1" x="2408"/>
        <item m="1" x="2317"/>
        <item m="1" x="352"/>
        <item m="1" x="2046"/>
        <item m="1" x="1473"/>
        <item m="1" x="1505"/>
        <item m="1" x="1001"/>
        <item m="1" x="2414"/>
        <item m="1" x="2474"/>
        <item m="1" x="2090"/>
        <item m="1" x="1851"/>
        <item m="1" x="1892"/>
        <item m="1" x="242"/>
        <item m="1" x="592"/>
        <item m="1" x="2037"/>
        <item m="1" x="937"/>
        <item m="1" x="316"/>
        <item m="1" x="564"/>
        <item m="1" x="2468"/>
        <item m="1" x="868"/>
        <item m="1" x="1235"/>
        <item m="1" x="1024"/>
        <item m="1" x="1922"/>
        <item m="1" x="1218"/>
        <item m="1" x="1872"/>
        <item m="1" x="913"/>
        <item m="1" x="462"/>
        <item m="1" x="1197"/>
        <item m="1" x="1530"/>
        <item m="1" x="2226"/>
        <item m="1" x="2231"/>
        <item m="1" x="1082"/>
        <item m="1" x="2210"/>
        <item m="1" x="600"/>
        <item m="1" x="1062"/>
        <item m="1" x="322"/>
        <item m="1" x="2237"/>
        <item m="1" x="2449"/>
        <item m="1" x="1417"/>
        <item m="1" x="2152"/>
        <item m="1" x="1319"/>
        <item m="1" x="789"/>
        <item m="1" x="873"/>
        <item m="1" x="156"/>
        <item m="1" x="1837"/>
        <item m="1" x="1418"/>
        <item m="1" x="1696"/>
        <item m="1" x="2174"/>
        <item m="1" x="1641"/>
        <item m="1" x="281"/>
        <item m="1" x="718"/>
        <item m="1" x="1960"/>
        <item m="1" x="532"/>
        <item m="1" x="1375"/>
        <item m="1" x="2011"/>
        <item m="1" x="189"/>
        <item m="1" x="950"/>
        <item m="1" x="812"/>
        <item m="1" x="506"/>
        <item m="1" x="2255"/>
        <item m="1" x="1098"/>
        <item m="1" x="680"/>
        <item m="1" x="1444"/>
        <item m="1" x="1243"/>
        <item m="1" x="386"/>
        <item m="1" x="2161"/>
        <item m="1" x="1160"/>
        <item m="1" x="2279"/>
        <item m="1" x="1855"/>
        <item m="1" x="2169"/>
        <item m="1" x="498"/>
        <item m="1" x="556"/>
        <item m="1" x="2304"/>
        <item m="1" x="2295"/>
        <item m="1" x="1848"/>
        <item m="1" x="251"/>
        <item m="1" x="2339"/>
        <item m="1" x="1219"/>
        <item m="1" x="794"/>
        <item m="1" x="1768"/>
        <item m="1" x="2338"/>
        <item m="1" x="1636"/>
        <item m="1" x="2349"/>
        <item m="1" x="1036"/>
        <item m="1" x="2194"/>
        <item m="1" x="2436"/>
        <item m="1" x="357"/>
        <item m="1" x="1606"/>
        <item m="1" x="678"/>
        <item m="1" x="221"/>
        <item m="1" x="1028"/>
        <item m="1" x="2223"/>
        <item m="1" x="562"/>
        <item m="1" x="1301"/>
        <item m="1" x="1416"/>
        <item m="1" x="1053"/>
        <item m="1" x="349"/>
        <item m="1" x="2173"/>
        <item m="1" x="1791"/>
        <item m="1" x="1902"/>
        <item m="1" x="2113"/>
        <item m="1" x="982"/>
        <item m="1" x="770"/>
        <item m="1" x="2104"/>
        <item m="1" x="2166"/>
        <item m="1" x="1866"/>
        <item m="1" x="2292"/>
        <item m="1" x="2124"/>
        <item m="1" x="871"/>
        <item m="1" x="548"/>
        <item m="1" x="2066"/>
        <item m="1" x="162"/>
        <item m="1" x="2289"/>
        <item m="1" x="1558"/>
        <item m="1" x="1998"/>
        <item m="1" x="1382"/>
        <item m="1" x="416"/>
        <item m="1" x="707"/>
        <item m="1" x="153"/>
        <item m="1" x="1236"/>
        <item m="1" x="665"/>
        <item m="1" x="816"/>
        <item m="1" x="587"/>
        <item m="1" x="941"/>
        <item m="1" x="772"/>
        <item m="1" x="1087"/>
        <item m="1" x="2067"/>
        <item m="1" x="1155"/>
        <item m="1" x="435"/>
        <item m="1" x="906"/>
        <item m="1" x="1699"/>
        <item m="1" x="1886"/>
        <item m="1" x="1830"/>
        <item m="1" x="206"/>
        <item m="1" x="1293"/>
        <item m="1" x="1452"/>
        <item m="1" x="1876"/>
        <item m="1" x="1601"/>
        <item m="1" x="2029"/>
        <item m="1" x="557"/>
        <item m="1" x="2360"/>
        <item m="1" x="467"/>
        <item m="1" x="2421"/>
        <item m="1" x="1992"/>
        <item m="1" x="1853"/>
        <item m="1" x="2378"/>
        <item m="1" x="1536"/>
        <item m="1" x="1046"/>
        <item m="1" x="776"/>
        <item m="1" x="2095"/>
        <item m="1" x="2411"/>
        <item m="1" x="2370"/>
        <item m="1" x="1821"/>
        <item m="1" x="881"/>
        <item m="1" x="1626"/>
        <item m="1" x="413"/>
        <item m="1" x="1991"/>
        <item m="1" x="160"/>
        <item m="1" x="1533"/>
        <item m="1" x="1668"/>
        <item m="1" x="819"/>
        <item m="1" x="641"/>
        <item m="1" x="1223"/>
        <item m="1" x="1192"/>
        <item m="1" x="2305"/>
        <item m="1" x="1898"/>
        <item m="1" x="2456"/>
        <item m="1" x="2263"/>
        <item m="1" x="1241"/>
        <item m="1" x="1334"/>
        <item m="1" x="348"/>
        <item m="1" x="2384"/>
        <item m="1" x="1199"/>
        <item m="1" x="1281"/>
        <item m="1" x="2307"/>
        <item m="1" x="752"/>
        <item m="1" x="1054"/>
        <item m="1" x="2444"/>
        <item m="1" x="1100"/>
        <item m="1" x="1097"/>
        <item m="1" x="558"/>
        <item m="1" x="804"/>
        <item m="1" x="2132"/>
        <item m="1" x="2401"/>
        <item m="1" x="622"/>
        <item m="1" x="1209"/>
        <item m="1" x="2280"/>
        <item m="1" x="1717"/>
        <item m="1" x="2284"/>
        <item m="1" x="447"/>
        <item m="1" x="2398"/>
        <item m="1" x="729"/>
        <item m="1" x="915"/>
        <item m="1" x="1545"/>
        <item m="1" x="1978"/>
        <item m="1" x="632"/>
        <item m="1" x="1537"/>
        <item m="1" x="1262"/>
        <item m="1" x="2357"/>
        <item m="1" x="200"/>
        <item m="1" x="1489"/>
        <item m="1" x="801"/>
        <item m="1" x="1786"/>
        <item m="1" x="1582"/>
        <item m="1" x="2023"/>
        <item m="1" x="524"/>
        <item m="1" x="1076"/>
        <item m="1" x="1932"/>
        <item m="1" x="1975"/>
        <item m="1" x="502"/>
        <item m="1" x="1395"/>
        <item m="1" x="589"/>
        <item m="1" x="1673"/>
        <item m="1" x="202"/>
        <item m="1" x="788"/>
        <item m="1" x="992"/>
        <item m="1" x="1370"/>
        <item m="1" x="738"/>
        <item m="1" x="679"/>
        <item m="1" x="876"/>
        <item m="1" x="1288"/>
        <item m="1" x="867"/>
        <item m="1" x="1818"/>
        <item m="1" x="1261"/>
        <item m="1" x="2181"/>
        <item m="1" x="1987"/>
        <item m="1" x="2432"/>
        <item m="1" x="1056"/>
        <item m="1" x="2140"/>
        <item m="1" x="2294"/>
        <item m="1" x="1273"/>
        <item m="1" x="2337"/>
        <item m="1" x="2143"/>
        <item m="1" x="1360"/>
        <item m="1" x="2353"/>
        <item m="1" x="1760"/>
        <item m="1" x="828"/>
        <item m="1" x="1638"/>
        <item m="1" x="1972"/>
        <item m="1" x="452"/>
        <item m="1" x="1426"/>
        <item m="1" x="1457"/>
        <item m="1" x="1350"/>
        <item m="1" x="2054"/>
        <item m="1" x="1790"/>
        <item m="1" x="623"/>
        <item m="1" x="481"/>
        <item m="1" x="655"/>
        <item m="1" x="759"/>
        <item m="1" x="1656"/>
        <item m="1" x="2218"/>
        <item m="1" x="742"/>
        <item m="1" x="2277"/>
        <item m="1" x="651"/>
        <item m="1" x="1153"/>
        <item m="1" x="1517"/>
        <item m="1" x="1619"/>
        <item m="1" x="1510"/>
        <item m="1" x="1437"/>
        <item m="1" x="1706"/>
        <item m="1" x="1685"/>
        <item m="1" x="1135"/>
        <item m="1" x="1461"/>
        <item m="1" x="2335"/>
        <item m="1" x="474"/>
        <item m="1" x="1567"/>
        <item m="1" x="1008"/>
        <item m="1" x="1168"/>
        <item m="1" x="686"/>
        <item m="1" x="431"/>
        <item m="1" x="1825"/>
        <item m="1" x="184"/>
        <item m="1" x="1025"/>
        <item m="1" x="259"/>
        <item m="1" x="2073"/>
        <item m="1" x="989"/>
        <item m="1" x="1906"/>
        <item m="1" x="1511"/>
        <item m="1" x="1757"/>
        <item m="1" x="1581"/>
        <item m="1" x="1835"/>
        <item m="1" x="965"/>
        <item m="1" x="1184"/>
        <item m="1" x="689"/>
        <item m="1" x="484"/>
        <item m="1" x="2354"/>
        <item m="1" x="1958"/>
        <item m="1" x="243"/>
        <item m="1" x="1445"/>
        <item m="1" x="1013"/>
        <item m="1" x="829"/>
        <item m="1" x="323"/>
        <item m="1" x="374"/>
        <item m="1" x="2453"/>
        <item m="1" x="445"/>
        <item m="1" x="461"/>
        <item m="1" x="991"/>
        <item m="1" x="543"/>
        <item m="1" x="1694"/>
        <item m="1" x="454"/>
        <item m="1" x="1519"/>
        <item m="1" x="518"/>
        <item m="1" x="1552"/>
        <item m="1" x="713"/>
        <item m="1" x="874"/>
        <item m="1" x="1081"/>
        <item m="1" x="2462"/>
        <item m="1" x="1113"/>
        <item m="1" x="1897"/>
        <item m="1" x="765"/>
        <item m="1" x="304"/>
        <item m="1" x="1916"/>
        <item m="1" x="1436"/>
        <item m="1" x="2097"/>
        <item m="1" x="285"/>
        <item m="1" x="1289"/>
        <item m="1" x="615"/>
        <item m="1" x="775"/>
        <item m="1" x="769"/>
        <item m="1" x="1518"/>
        <item m="1" x="2310"/>
        <item m="1" x="654"/>
        <item m="1" x="1217"/>
        <item m="1" x="976"/>
        <item m="1" x="1387"/>
        <item m="1" x="331"/>
        <item m="1" x="1374"/>
        <item m="1" x="1466"/>
        <item m="1" x="1165"/>
        <item m="1" x="1723"/>
        <item m="1" x="2425"/>
        <item m="1" x="2069"/>
        <item m="1" x="441"/>
        <item m="1" x="1951"/>
        <item m="1" x="833"/>
        <item m="1" x="796"/>
        <item m="1" x="1988"/>
        <item m="1" x="2209"/>
        <item m="1" x="544"/>
        <item m="1" x="355"/>
        <item m="1" x="2236"/>
        <item m="1" x="570"/>
        <item m="1" x="466"/>
        <item m="1" x="1178"/>
        <item m="1" x="732"/>
        <item m="1" x="573"/>
        <item m="1" x="822"/>
        <item m="1" x="1726"/>
        <item m="1" x="667"/>
        <item m="1" x="1836"/>
        <item m="1" x="527"/>
        <item m="1" x="722"/>
        <item m="1" x="1747"/>
        <item m="1" x="922"/>
        <item m="1" x="2311"/>
        <item m="1" x="1797"/>
        <item m="1" x="618"/>
        <item m="1" x="910"/>
        <item m="1" x="597"/>
        <item m="1" x="1287"/>
        <item m="1" x="2313"/>
        <item m="1" x="1695"/>
        <item m="1" x="485"/>
        <item m="1" x="1795"/>
        <item m="1" x="1073"/>
        <item m="1" x="1455"/>
        <item m="1" x="1358"/>
        <item m="1" x="985"/>
        <item m="1" x="1094"/>
        <item m="1" x="1655"/>
        <item m="1" x="1309"/>
        <item m="1" x="1102"/>
        <item m="1" x="2476"/>
        <item m="1" x="1945"/>
        <item m="1" x="1739"/>
        <item m="1" x="2088"/>
        <item m="1" x="1995"/>
        <item m="1" x="496"/>
        <item m="1" x="296"/>
        <item m="1" x="1635"/>
        <item m="1" x="1762"/>
        <item m="1" x="2395"/>
        <item m="1" x="399"/>
        <item m="1" x="1878"/>
        <item m="1" x="2185"/>
        <item m="1" x="2464"/>
        <item m="1" x="627"/>
        <item m="1" x="336"/>
        <item m="1" x="1120"/>
        <item m="1" x="1782"/>
        <item m="1" x="519"/>
        <item m="1" x="1284"/>
        <item m="1" x="1432"/>
        <item m="1" x="1338"/>
        <item m="1" x="537"/>
        <item m="1" x="1069"/>
        <item m="1" x="1234"/>
        <item m="1" x="412"/>
        <item m="1" x="2296"/>
        <item m="1" x="2071"/>
        <item m="1" x="998"/>
        <item m="1" x="1993"/>
        <item m="1" x="1858"/>
        <item m="1" x="510"/>
        <item m="1" x="2314"/>
        <item m="1" x="1751"/>
        <item m="1" x="1248"/>
        <item m="1" x="2093"/>
        <item m="1" x="687"/>
        <item m="1" x="1250"/>
        <item m="1" x="1459"/>
        <item m="1" x="2477"/>
        <item m="1" x="385"/>
        <item m="1" x="1486"/>
        <item m="1" x="139"/>
        <item m="1" x="173"/>
        <item m="1" x="1899"/>
        <item m="1" x="774"/>
        <item m="1" x="779"/>
        <item m="1" x="631"/>
        <item m="1" x="1971"/>
        <item m="1" x="576"/>
        <item m="1" x="1280"/>
        <item m="1" x="1228"/>
        <item m="1" x="1193"/>
        <item m="1" x="2050"/>
        <item m="1" x="231"/>
        <item m="1" x="984"/>
        <item m="1" x="1834"/>
        <item m="1" x="1933"/>
        <item m="1" x="617"/>
        <item m="1" x="1272"/>
        <item m="1" x="1369"/>
        <item m="1" x="2122"/>
        <item m="1" x="2387"/>
        <item m="1" x="1671"/>
        <item m="1" x="1232"/>
        <item m="1" x="1520"/>
        <item m="1" x="2463"/>
        <item m="1" x="218"/>
        <item m="1" x="308"/>
        <item m="1" x="1704"/>
        <item m="1" x="1405"/>
        <item m="1" x="216"/>
        <item m="1" x="1643"/>
        <item m="1" x="495"/>
        <item m="1" x="1732"/>
        <item m="1" x="1740"/>
        <item m="1" x="1137"/>
        <item m="1" x="401"/>
        <item m="1" x="1044"/>
        <item m="1" x="1968"/>
        <item m="1" x="975"/>
        <item m="1" x="1246"/>
        <item m="1" x="1103"/>
        <item m="1" x="661"/>
        <item m="1" x="2388"/>
        <item m="1" x="1106"/>
        <item m="1" x="1935"/>
        <item m="1" x="2410"/>
        <item m="1" x="2441"/>
        <item m="1" x="1914"/>
        <item m="1" x="1938"/>
        <item m="1" x="1891"/>
        <item m="1" x="418"/>
        <item m="1" x="2155"/>
        <item m="1" x="1474"/>
        <item m="1" x="1061"/>
        <item m="1" x="1067"/>
        <item m="1" x="2005"/>
        <item m="1" x="1730"/>
        <item m="1" x="2423"/>
        <item m="1" x="375"/>
        <item m="1" x="1365"/>
        <item m="1" x="1963"/>
        <item m="1" x="1264"/>
        <item m="1" x="652"/>
        <item m="1" x="944"/>
        <item m="1" x="694"/>
        <item m="1" x="526"/>
        <item m="1" x="1249"/>
        <item m="1" x="379"/>
        <item m="1" x="1384"/>
        <item m="1" x="1349"/>
        <item m="1" x="362"/>
        <item m="1" x="1071"/>
        <item m="1" x="2058"/>
        <item m="1" x="1380"/>
        <item m="1" x="2265"/>
        <item m="1" x="364"/>
        <item m="1" x="2208"/>
        <item m="1" x="1145"/>
        <item m="1" x="1994"/>
        <item m="1" x="1478"/>
        <item m="1" x="1989"/>
        <item m="1" x="1566"/>
        <item m="1" x="972"/>
        <item m="1" x="219"/>
        <item m="1" x="2482"/>
        <item m="1" x="1242"/>
        <item m="1" x="1715"/>
        <item m="1" x="2329"/>
        <item m="1" x="591"/>
        <item m="1" x="1206"/>
        <item m="1" x="300"/>
        <item m="1" x="746"/>
        <item m="1" x="476"/>
        <item m="1" x="1950"/>
        <item m="1" x="1514"/>
        <item m="1" x="724"/>
        <item m="1" x="642"/>
        <item m="1" x="2111"/>
        <item m="1" x="155"/>
        <item m="1" x="1691"/>
        <item m="1" x="253"/>
        <item m="1" x="1904"/>
        <item m="1" x="1861"/>
        <item m="1" x="1143"/>
        <item m="1" x="1476"/>
        <item m="1" x="1079"/>
        <item m="1" x="1029"/>
        <item m="1" x="2481"/>
        <item m="1" x="1469"/>
        <item m="1" x="1509"/>
        <item m="1" x="1035"/>
        <item m="1" x="1274"/>
        <item m="1" x="1366"/>
        <item m="1" x="430"/>
        <item m="1" x="2189"/>
        <item m="1" x="1400"/>
        <item m="1" x="919"/>
        <item m="1" x="561"/>
        <item m="1" x="1229"/>
        <item m="1" x="840"/>
        <item m="1" x="1328"/>
        <item m="1" x="1231"/>
        <item m="1" x="1555"/>
        <item m="1" x="1681"/>
        <item m="1" x="1134"/>
        <item m="1" x="179"/>
        <item m="1" x="433"/>
        <item m="1" x="603"/>
        <item m="1" x="468"/>
        <item m="1" x="832"/>
        <item m="1" x="1208"/>
        <item m="1" x="1669"/>
        <item m="1" x="1611"/>
        <item m="1" x="429"/>
        <item m="1" x="1341"/>
        <item m="1" x="1868"/>
        <item m="1" x="1291"/>
        <item m="1" x="2257"/>
        <item m="1" x="1526"/>
        <item m="1" x="1308"/>
        <item m="1" x="827"/>
        <item m="1" x="1314"/>
        <item m="1" x="1846"/>
        <item m="1" x="157"/>
        <item m="1" x="307"/>
        <item m="1" x="811"/>
        <item m="1" x="1986"/>
        <item m="1" x="2315"/>
        <item m="1" x="1631"/>
        <item m="1" x="1140"/>
        <item m="1" x="664"/>
        <item m="1" x="2105"/>
        <item m="1" x="2003"/>
        <item m="1" x="1396"/>
        <item m="1" x="899"/>
        <item m="1" x="820"/>
        <item m="1" x="1711"/>
        <item m="1" x="629"/>
        <item m="1" x="2158"/>
        <item m="1" x="2331"/>
        <item m="1" x="369"/>
        <item m="1" x="2309"/>
        <item m="1" x="2214"/>
        <item m="1" x="748"/>
        <item m="1" x="907"/>
        <item m="1" x="1391"/>
        <item m="1" x="148"/>
        <item m="1" x="2271"/>
        <item m="1" x="199"/>
        <item m="1" x="2163"/>
        <item m="1" x="224"/>
        <item m="1" x="2230"/>
        <item m="1" x="959"/>
        <item m="1" x="741"/>
        <item m="1" x="263"/>
        <item m="1" x="1676"/>
        <item m="1" x="1131"/>
        <item m="1" x="850"/>
        <item m="1" x="1095"/>
        <item m="1" x="2144"/>
        <item m="1" x="2027"/>
        <item m="1" x="326"/>
        <item m="1" x="634"/>
        <item m="1" x="2344"/>
        <item m="1" x="287"/>
        <item m="1" x="1698"/>
        <item m="1" x="806"/>
        <item m="1" x="1687"/>
        <item m="1" x="1023"/>
        <item m="1" x="1259"/>
        <item m="1" x="1337"/>
        <item m="1" x="450"/>
        <item m="1" x="1798"/>
        <item m="1" x="1529"/>
        <item m="1" x="288"/>
        <item m="1" x="2390"/>
        <item m="1" x="2434"/>
        <item m="1" x="187"/>
        <item m="1" x="236"/>
        <item m="1" x="186"/>
        <item m="1" x="947"/>
        <item m="1" x="513"/>
        <item m="1" x="1564"/>
        <item m="1" x="1557"/>
        <item m="1" x="1326"/>
        <item m="1" x="1765"/>
        <item m="1" x="1594"/>
        <item m="1" x="1214"/>
        <item m="1" x="2325"/>
        <item m="1" x="2217"/>
        <item m="1" x="1708"/>
        <item m="1" x="538"/>
        <item m="1" x="751"/>
        <item m="1" x="1354"/>
        <item m="1" x="1889"/>
        <item m="1" x="1679"/>
        <item m="1" x="1802"/>
        <item m="1" x="1158"/>
        <item m="1" x="257"/>
        <item m="1" x="1425"/>
        <item m="1" x="1348"/>
        <item m="1" x="1874"/>
        <item m="1" x="920"/>
        <item m="1" x="388"/>
        <item m="1" x="2416"/>
        <item m="1" x="477"/>
        <item m="1" x="963"/>
        <item m="1" x="1823"/>
        <item m="1" x="2406"/>
        <item m="1" x="439"/>
        <item m="1" x="1860"/>
        <item m="1" x="411"/>
        <item m="1" x="2285"/>
        <item m="1" x="1859"/>
        <item m="1" x="1200"/>
        <item m="1" x="1174"/>
        <item m="1" x="1043"/>
        <item m="1" x="178"/>
        <item m="1" x="540"/>
        <item m="1" x="536"/>
        <item m="1" x="1746"/>
        <item m="1" x="2466"/>
        <item m="1" x="2366"/>
        <item m="1" x="2141"/>
        <item m="1" x="2318"/>
        <item m="1" x="2372"/>
        <item m="1" x="211"/>
        <item m="1" x="1910"/>
        <item m="1" x="1625"/>
        <item m="1" x="767"/>
        <item m="1" x="2472"/>
        <item m="1" x="1344"/>
        <item m="1" x="434"/>
        <item m="1" x="1189"/>
        <item m="1" x="1693"/>
        <item m="1" x="955"/>
        <item m="1" x="1767"/>
        <item m="1" x="301"/>
        <item m="1" x="869"/>
        <item m="1" x="1799"/>
        <item m="1" x="383"/>
        <item m="1" x="376"/>
        <item m="1" x="1981"/>
        <item m="1" x="1313"/>
        <item m="1" x="613"/>
        <item m="1" x="2435"/>
        <item m="1" x="2326"/>
        <item m="1" x="1637"/>
        <item m="1" x="2448"/>
        <item m="1" x="711"/>
        <item m="1" x="1862"/>
        <item m="1" x="1977"/>
        <item m="1" x="188"/>
        <item m="1" x="1077"/>
        <item m="1" x="2394"/>
        <item m="1" x="1428"/>
        <item m="1" x="1649"/>
        <item m="1" x="2345"/>
        <item m="1" x="813"/>
        <item m="1" x="425"/>
        <item m="1" x="1577"/>
        <item m="1" x="497"/>
        <item m="1" x="1088"/>
        <item m="1" x="2072"/>
        <item m="1" x="1602"/>
        <item m="1" x="1559"/>
        <item m="1" x="1927"/>
        <item m="1" x="581"/>
        <item m="1" x="787"/>
        <item m="1" x="535"/>
        <item m="1" x="1266"/>
        <item m="1" x="1296"/>
        <item m="1" x="2369"/>
        <item m="1" x="402"/>
        <item m="1" x="392"/>
        <item m="1" x="887"/>
        <item m="1" x="1544"/>
        <item m="1" x="1080"/>
        <item m="1" x="2062"/>
        <item m="1" x="1283"/>
        <item m="1" x="660"/>
        <item m="1" x="2200"/>
        <item m="1" x="1824"/>
        <item m="1" x="983"/>
        <item m="1" x="384"/>
        <item m="1" x="1734"/>
        <item m="1" x="417"/>
        <item m="1" x="903"/>
        <item m="1" x="1666"/>
        <item m="1" x="1201"/>
        <item m="1" x="380"/>
        <item m="1" x="192"/>
        <item m="1" x="2475"/>
        <item m="1" x="299"/>
        <item m="1" x="892"/>
        <item m="1" x="1680"/>
        <item m="1" x="1434"/>
        <item m="1" x="1913"/>
        <item m="1" x="1167"/>
        <item m="1" x="1493"/>
        <item m="1" x="1282"/>
        <item m="1" x="292"/>
        <item m="1" x="1657"/>
        <item m="1" x="2452"/>
        <item m="1" x="1483"/>
        <item m="1" x="1540"/>
        <item m="1" x="2426"/>
        <item m="1" x="1171"/>
        <item m="1" x="968"/>
        <item m="1" x="918"/>
        <item m="1" x="2177"/>
        <item m="1" x="1050"/>
        <item m="1" x="1306"/>
        <item m="1" x="2053"/>
        <item m="1" x="2222"/>
        <item m="1" x="361"/>
        <item m="1" x="2346"/>
        <item m="1" x="1787"/>
        <item m="1" x="953"/>
        <item m="1" x="646"/>
        <item m="1" x="886"/>
        <item m="1" x="1568"/>
        <item m="1" x="2063"/>
        <item m="1" x="2145"/>
        <item m="1" x="1346"/>
        <item m="1" x="1451"/>
        <item m="1" x="2376"/>
        <item m="1" x="1394"/>
        <item m="1" x="424"/>
        <item m="1" x="2130"/>
        <item m="1" x="2171"/>
        <item m="1" x="174"/>
        <item m="1" x="325"/>
        <item m="1" x="1692"/>
        <item m="1" x="756"/>
        <item m="1" x="1166"/>
        <item m="1" x="1362"/>
        <item m="1" x="1196"/>
        <item m="1" x="1843"/>
        <item m="1" x="1443"/>
        <item m="1" x="1758"/>
        <item m="1" x="1946"/>
        <item m="1" x="764"/>
        <item m="1" x="185"/>
        <item m="1" x="1117"/>
        <item m="1" x="455"/>
        <item m="1" x="1684"/>
        <item m="1" x="1909"/>
        <item m="1" x="1127"/>
        <item m="1" x="990"/>
        <item m="1" x="657"/>
        <item m="1" x="350"/>
        <item m="1" x="1119"/>
        <item m="1" x="793"/>
        <item m="1" x="2205"/>
        <item m="1" x="563"/>
        <item m="1" x="2013"/>
        <item m="1" x="1210"/>
        <item m="1" x="1965"/>
        <item m="1" x="1376"/>
        <item m="1" x="1357"/>
        <item m="1" x="1953"/>
        <item m="1" x="181"/>
        <item m="1" x="1820"/>
        <item m="1" x="1784"/>
        <item m="1" x="2248"/>
        <item m="1" x="2479"/>
        <item m="1" x="1305"/>
        <item m="1" x="1920"/>
        <item m="1" x="1776"/>
        <item m="1" x="1116"/>
        <item m="1" x="1754"/>
        <item m="1" x="2419"/>
        <item m="1" x="656"/>
        <item m="1" x="1504"/>
        <item m="1" x="2047"/>
        <item m="1" x="2332"/>
        <item m="1" x="1333"/>
        <item m="1" x="2008"/>
        <item m="1" x="2361"/>
        <item m="1" x="397"/>
        <item m="1" x="1424"/>
        <item m="1" x="935"/>
        <item m="1" x="1500"/>
        <item m="1" x="2039"/>
        <item m="1" x="1033"/>
        <item m="1" x="980"/>
        <item m="1" x="1658"/>
        <item m="1" x="2290"/>
        <item m="1" x="1267"/>
        <item m="1" x="2409"/>
        <item m="1" x="220"/>
        <item m="1" x="241"/>
        <item m="1" x="1532"/>
        <item m="1" x="706"/>
        <item m="1" x="2443"/>
        <item m="1" x="844"/>
        <item m="1" x="2450"/>
        <item m="1" x="637"/>
        <item m="1" x="1321"/>
        <item m="1" x="1618"/>
        <item m="1" x="1271"/>
        <item m="1" x="451"/>
        <item m="1" x="2327"/>
        <item m="1" x="1943"/>
        <item m="1" x="2258"/>
        <item m="1" x="2017"/>
        <item m="1" x="1589"/>
        <item m="1" x="792"/>
        <item m="1" x="753"/>
        <item m="1" x="1000"/>
        <item m="1" x="1252"/>
        <item m="1" x="803"/>
        <item m="1" x="553"/>
        <item m="1" x="1901"/>
        <item m="1" x="604"/>
        <item m="1" x="960"/>
        <item m="1" x="2228"/>
        <item m="1" x="997"/>
        <item m="1" x="2154"/>
        <item m="1" x="273"/>
        <item m="1" x="1222"/>
        <item m="1" x="1204"/>
        <item m="1" x="2106"/>
        <item m="1" x="768"/>
        <item m="1" x="2065"/>
        <item m="1" x="830"/>
        <item m="1" x="164"/>
        <item m="1" x="1801"/>
        <item m="1" x="404"/>
        <item m="1" x="154"/>
        <item m="1" x="1982"/>
        <item m="1" x="1653"/>
        <item m="1" x="852"/>
        <item m="1" x="1188"/>
        <item m="1" x="2380"/>
        <item m="1" x="1040"/>
        <item m="1" x="1064"/>
        <item m="1" x="1447"/>
        <item m="1" x="1386"/>
        <item m="1" x="2283"/>
        <item m="1" x="872"/>
        <item m="1" x="504"/>
        <item m="1" x="1850"/>
        <item m="1" x="1412"/>
        <item m="1" x="1403"/>
        <item m="1" x="311"/>
        <item m="1" x="1086"/>
        <item m="1" x="1110"/>
        <item m="1" x="2110"/>
        <item m="1" x="1763"/>
        <item m="1" x="382"/>
        <item m="1" x="1075"/>
        <item m="1" x="2136"/>
        <item m="1" x="1707"/>
        <item m="1" x="1528"/>
        <item m="1" x="249"/>
        <item m="1" x="2341"/>
        <item m="1" x="1202"/>
        <item m="1" x="740"/>
        <item m="1" x="1138"/>
        <item m="1" x="2138"/>
        <item m="1" x="609"/>
        <item m="1" x="1364"/>
        <item m="1" x="755"/>
        <item m="1" x="1133"/>
        <item m="1" x="2243"/>
        <item m="1" x="1325"/>
        <item m="1" x="721"/>
        <item m="1" x="2213"/>
        <item m="1" x="1072"/>
        <item m="1" x="616"/>
        <item m="1" x="269"/>
        <item m="1" x="643"/>
        <item m="1" x="1541"/>
        <item m="1" x="734"/>
        <item m="1" x="1941"/>
        <item m="1" x="1703"/>
        <item m="1" x="176"/>
        <item m="1" x="1592"/>
        <item m="1" x="1213"/>
        <item m="1" x="246"/>
        <item m="1" x="1389"/>
        <item m="1" x="2405"/>
        <item m="1" x="1315"/>
        <item m="1" x="726"/>
        <item m="1" x="427"/>
        <item m="1" x="315"/>
        <item m="1" x="1976"/>
        <item m="1" x="1727"/>
        <item m="1" x="2164"/>
        <item m="1" x="1475"/>
        <item m="1" x="2299"/>
        <item m="1" x="763"/>
        <item m="1" x="1682"/>
        <item m="1" x="472"/>
        <item m="1" x="446"/>
        <item m="1" x="1014"/>
        <item m="1" x="1176"/>
        <item m="1" x="2070"/>
        <item m="1" x="2322"/>
        <item m="1" x="338"/>
        <item m="1" x="1831"/>
        <item m="1" x="1662"/>
        <item m="1" x="2157"/>
        <item m="1" x="2274"/>
        <item m="1" x="1343"/>
        <item m="1" x="1017"/>
        <item m="1" x="862"/>
        <item m="1" x="1057"/>
        <item m="1" x="1654"/>
        <item m="1" x="305"/>
        <item m="1" x="501"/>
        <item m="1" x="500"/>
        <item m="1" x="1084"/>
        <item m="1" x="1058"/>
        <item m="1" x="1652"/>
        <item m="1" x="2362"/>
        <item m="1" x="1672"/>
        <item m="1" x="2036"/>
        <item m="1" x="877"/>
        <item m="1" x="168"/>
        <item m="1" x="195"/>
        <item m="1" x="1884"/>
        <item m="1" x="1661"/>
        <item m="1" x="1440"/>
        <item m="1" x="964"/>
        <item m="1" x="743"/>
        <item m="1" x="2402"/>
        <item m="1" x="293"/>
        <item m="1" x="2007"/>
        <item m="1" x="516"/>
        <item m="1" x="324"/>
        <item m="1" x="2268"/>
        <item m="1" x="1605"/>
        <item m="1" x="2392"/>
        <item m="1" x="1822"/>
        <item m="1" x="2352"/>
        <item m="1" x="945"/>
        <item m="1" x="2350"/>
        <item m="1" x="854"/>
        <item m="1" x="1800"/>
        <item m="1" x="1620"/>
        <item m="1" x="1124"/>
        <item m="1" x="1480"/>
        <item m="1" x="277"/>
        <item m="1" x="1257"/>
        <item m="1" x="2094"/>
        <item m="1" x="2276"/>
        <item m="1" x="901"/>
        <item m="1" x="958"/>
        <item m="1" x="1804"/>
        <item m="1" x="2286"/>
        <item m="1" x="2342"/>
        <item m="1" x="215"/>
        <item m="1" x="1154"/>
        <item m="1" x="1720"/>
        <item m="1" x="1912"/>
        <item m="1" x="2015"/>
        <item m="1" x="1883"/>
        <item m="1" x="1962"/>
        <item m="1" x="700"/>
        <item m="1" x="1220"/>
        <item m="1" x="478"/>
        <item m="1" x="1342"/>
        <item m="1" x="2182"/>
        <item m="1" x="175"/>
        <item m="1" x="2080"/>
        <item m="1" x="1608"/>
        <item m="1" x="1304"/>
        <item m="1" x="878"/>
        <item m="1" x="2156"/>
        <item m="1" x="1331"/>
        <item m="1" x="939"/>
        <item m="1" x="2151"/>
        <item m="1" x="1070"/>
        <item m="1" x="320"/>
        <item m="1" x="1854"/>
        <item m="1" x="393"/>
        <item m="1" x="1749"/>
        <item m="1" x="999"/>
        <item m="1" x="588"/>
        <item m="1" x="213"/>
        <item m="1" x="2018"/>
        <item m="1" x="1207"/>
        <item m="1" x="1923"/>
        <item m="1" x="347"/>
        <item m="1" x="1513"/>
        <item m="1" x="2340"/>
        <item m="1" x="1597"/>
        <item m="1" x="214"/>
        <item m="1" x="630"/>
        <item m="1" x="2179"/>
        <item m="1" x="1238"/>
        <item m="1" x="372"/>
        <item m="1" x="551"/>
        <item m="1" x="283"/>
        <item m="1" x="885"/>
        <item m="1" x="814"/>
        <item m="1" x="2142"/>
        <item m="1" x="1985"/>
        <item m="1" x="971"/>
        <item m="1" x="1465"/>
        <item m="1" x="2455"/>
        <item m="1" x="1363"/>
        <item m="1" x="988"/>
        <item m="1" x="2429"/>
        <item m="1" x="1815"/>
        <item m="1" x="586"/>
        <item m="1" x="780"/>
        <item m="1" x="697"/>
        <item m="1" x="2266"/>
        <item m="1" x="584"/>
        <item m="1" x="846"/>
        <item m="1" x="426"/>
        <item m="1" x="268"/>
        <item m="1" x="690"/>
        <item m="1" x="704"/>
        <item m="1" x="1126"/>
        <item m="1" x="365"/>
        <item m="1" x="1939"/>
        <item m="1" x="282"/>
        <item m="1" x="1481"/>
        <item m="1" x="475"/>
        <item m="1" x="565"/>
        <item m="1" x="232"/>
        <item m="1" x="276"/>
        <item m="1" x="685"/>
        <item m="1" x="479"/>
        <item m="1" x="340"/>
        <item m="1" x="2316"/>
        <item m="1" x="1421"/>
        <item m="1" x="2439"/>
        <item m="1" x="1388"/>
        <item m="1" x="1785"/>
        <item m="1" x="130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</items>
    </pivotField>
    <pivotField axis="axisRow" compact="0" numFmtId="14" outline="0" showAll="0" defaultSubtotal="0">
      <items count="31">
        <item x="6"/>
        <item x="30"/>
        <item x="1"/>
        <item x="22"/>
        <item x="9"/>
        <item x="0"/>
        <item x="8"/>
        <item x="21"/>
        <item x="12"/>
        <item x="16"/>
        <item x="17"/>
        <item x="26"/>
        <item x="28"/>
        <item x="27"/>
        <item x="4"/>
        <item x="20"/>
        <item x="10"/>
        <item x="15"/>
        <item x="25"/>
        <item x="19"/>
        <item x="24"/>
        <item x="7"/>
        <item x="13"/>
        <item x="14"/>
        <item x="18"/>
        <item x="11"/>
        <item x="2"/>
        <item x="29"/>
        <item x="23"/>
        <item x="5"/>
        <item x="3"/>
      </items>
    </pivotField>
    <pivotField axis="axisPage" compact="0" outline="0" showAll="0">
      <items count="6">
        <item x="2"/>
        <item x="3"/>
        <item x="0"/>
        <item x="4"/>
        <item x="1"/>
        <item t="default"/>
      </items>
    </pivotField>
    <pivotField axis="axisRow" compact="0" outline="0" showAll="0">
      <items count="101">
        <item x="56"/>
        <item x="26"/>
        <item x="91"/>
        <item x="40"/>
        <item x="86"/>
        <item x="57"/>
        <item x="65"/>
        <item x="31"/>
        <item x="28"/>
        <item x="37"/>
        <item x="60"/>
        <item x="30"/>
        <item x="9"/>
        <item x="88"/>
        <item x="2"/>
        <item x="24"/>
        <item x="75"/>
        <item x="61"/>
        <item x="16"/>
        <item x="97"/>
        <item x="77"/>
        <item x="5"/>
        <item x="41"/>
        <item x="1"/>
        <item x="85"/>
        <item x="33"/>
        <item x="12"/>
        <item x="69"/>
        <item x="17"/>
        <item x="25"/>
        <item x="29"/>
        <item x="79"/>
        <item x="94"/>
        <item x="98"/>
        <item x="50"/>
        <item x="81"/>
        <item x="39"/>
        <item x="27"/>
        <item x="45"/>
        <item x="48"/>
        <item x="38"/>
        <item x="64"/>
        <item x="90"/>
        <item x="18"/>
        <item x="44"/>
        <item x="4"/>
        <item x="58"/>
        <item x="83"/>
        <item x="63"/>
        <item x="70"/>
        <item x="68"/>
        <item x="11"/>
        <item x="19"/>
        <item x="82"/>
        <item x="96"/>
        <item x="21"/>
        <item x="7"/>
        <item x="14"/>
        <item x="53"/>
        <item x="3"/>
        <item x="84"/>
        <item x="36"/>
        <item x="34"/>
        <item x="66"/>
        <item x="72"/>
        <item x="42"/>
        <item x="71"/>
        <item x="0"/>
        <item x="8"/>
        <item x="32"/>
        <item x="93"/>
        <item x="92"/>
        <item x="51"/>
        <item x="22"/>
        <item x="87"/>
        <item x="54"/>
        <item x="46"/>
        <item x="89"/>
        <item x="43"/>
        <item x="80"/>
        <item x="35"/>
        <item x="15"/>
        <item x="10"/>
        <item x="62"/>
        <item x="76"/>
        <item x="59"/>
        <item x="78"/>
        <item x="13"/>
        <item x="74"/>
        <item x="20"/>
        <item x="95"/>
        <item x="47"/>
        <item x="67"/>
        <item x="73"/>
        <item x="49"/>
        <item x="6"/>
        <item x="52"/>
        <item x="23"/>
        <item x="55"/>
        <item x="99"/>
        <item t="default"/>
      </items>
    </pivotField>
    <pivotField dataField="1" compact="0" numFmtId="164" outline="0" showAll="0"/>
    <pivotField dataField="1" compact="0" numFmtId="164" outline="0" showAll="0"/>
    <pivotField dataField="1" compact="0" numFmtId="164" outline="0" showAll="0"/>
    <pivotField dataField="1" compact="0" outline="0" dragToRow="0" dragToCol="0" dragToPage="0" showAll="0" defaultSubtotal="0"/>
  </pivotFields>
  <rowFields count="3">
    <field x="0"/>
    <field x="1"/>
    <field x="3"/>
  </rowFields>
  <rowItems count="139">
    <i>
      <x v="2346"/>
      <x v="5"/>
      <x v="67"/>
    </i>
    <i>
      <x v="2347"/>
      <x v="2"/>
      <x v="23"/>
    </i>
    <i>
      <x v="2348"/>
      <x v="26"/>
      <x v="14"/>
    </i>
    <i>
      <x v="2349"/>
      <x v="30"/>
      <x v="59"/>
    </i>
    <i>
      <x v="2350"/>
      <x v="14"/>
      <x v="45"/>
    </i>
    <i>
      <x v="2351"/>
      <x v="29"/>
      <x v="21"/>
    </i>
    <i>
      <x v="2352"/>
      <x/>
      <x v="95"/>
    </i>
    <i>
      <x v="2353"/>
      <x v="21"/>
      <x v="56"/>
    </i>
    <i>
      <x v="2354"/>
      <x v="6"/>
      <x v="68"/>
    </i>
    <i>
      <x v="2355"/>
      <x v="4"/>
      <x v="12"/>
    </i>
    <i>
      <x v="2356"/>
      <x v="21"/>
      <x v="82"/>
    </i>
    <i>
      <x v="2357"/>
      <x v="16"/>
      <x v="51"/>
    </i>
    <i>
      <x v="2358"/>
      <x v="25"/>
      <x v="26"/>
    </i>
    <i>
      <x v="2359"/>
      <x v="8"/>
      <x v="87"/>
    </i>
    <i>
      <x v="2360"/>
      <x/>
      <x v="57"/>
    </i>
    <i>
      <x v="2361"/>
      <x v="22"/>
      <x v="81"/>
    </i>
    <i>
      <x v="2362"/>
      <x/>
      <x v="18"/>
    </i>
    <i>
      <x v="2363"/>
      <x v="23"/>
      <x v="28"/>
    </i>
    <i>
      <x v="2364"/>
      <x v="17"/>
      <x v="43"/>
    </i>
    <i>
      <x v="2365"/>
      <x v="30"/>
      <x v="52"/>
    </i>
    <i>
      <x v="2366"/>
      <x v="9"/>
      <x v="89"/>
    </i>
    <i>
      <x v="2367"/>
      <x v="23"/>
      <x v="55"/>
    </i>
    <i>
      <x v="2368"/>
      <x v="4"/>
      <x v="73"/>
    </i>
    <i>
      <x v="2369"/>
      <x v="29"/>
      <x v="97"/>
    </i>
    <i>
      <x v="2370"/>
      <x v="10"/>
      <x v="15"/>
    </i>
    <i>
      <x v="2371"/>
      <x v="24"/>
      <x v="29"/>
    </i>
    <i>
      <x v="2372"/>
      <x v="22"/>
      <x v="1"/>
    </i>
    <i>
      <x v="2373"/>
      <x/>
      <x v="37"/>
    </i>
    <i>
      <x v="2374"/>
      <x v="30"/>
      <x v="8"/>
    </i>
    <i>
      <x v="2375"/>
      <x v="19"/>
      <x v="30"/>
    </i>
    <i>
      <x v="2376"/>
      <x v="8"/>
      <x v="11"/>
    </i>
    <i>
      <x v="2377"/>
      <x v="29"/>
      <x v="7"/>
    </i>
    <i>
      <x v="2378"/>
      <x v="15"/>
      <x v="69"/>
    </i>
    <i>
      <x v="2379"/>
      <x v="7"/>
      <x v="25"/>
    </i>
    <i>
      <x v="2380"/>
      <x v="3"/>
      <x v="62"/>
    </i>
    <i>
      <x v="2381"/>
      <x v="28"/>
      <x v="80"/>
    </i>
    <i>
      <x v="2382"/>
      <x v="9"/>
      <x v="61"/>
    </i>
    <i>
      <x v="2383"/>
      <x v="22"/>
      <x v="9"/>
    </i>
    <i>
      <x v="2384"/>
      <x v="20"/>
      <x v="40"/>
    </i>
    <i>
      <x v="2385"/>
      <x v="18"/>
      <x v="36"/>
    </i>
    <i>
      <x v="2386"/>
      <x v="25"/>
      <x v="3"/>
    </i>
    <i>
      <x v="2387"/>
      <x v="4"/>
      <x v="22"/>
    </i>
    <i>
      <x v="2388"/>
      <x v="8"/>
      <x v="65"/>
    </i>
    <i>
      <x v="2389"/>
      <x v="11"/>
      <x v="78"/>
    </i>
    <i>
      <x v="2390"/>
      <x v="17"/>
      <x v="44"/>
    </i>
    <i>
      <x v="2391"/>
      <x v="14"/>
      <x v="38"/>
    </i>
    <i>
      <x v="2392"/>
      <x v="13"/>
      <x v="76"/>
    </i>
    <i>
      <x v="2393"/>
      <x v="19"/>
      <x v="91"/>
    </i>
    <i>
      <x v="2394"/>
      <x v="29"/>
      <x v="39"/>
    </i>
    <i>
      <x v="2395"/>
      <x v="10"/>
      <x v="94"/>
    </i>
    <i>
      <x v="2396"/>
      <x v="29"/>
      <x v="34"/>
    </i>
    <i>
      <x v="2397"/>
      <x v="23"/>
      <x v="72"/>
    </i>
    <i>
      <x v="2398"/>
      <x v="5"/>
      <x v="96"/>
    </i>
    <i>
      <x v="2399"/>
      <x v="24"/>
      <x v="58"/>
    </i>
    <i>
      <x v="2400"/>
      <x v="13"/>
      <x v="75"/>
    </i>
    <i>
      <x v="2401"/>
      <x v="10"/>
      <x v="98"/>
    </i>
    <i>
      <x v="2402"/>
      <x v="23"/>
      <x/>
    </i>
    <i>
      <x v="2403"/>
      <x v="12"/>
      <x v="5"/>
    </i>
    <i>
      <x v="2404"/>
      <x v="6"/>
      <x v="46"/>
    </i>
    <i>
      <x v="2405"/>
      <x v="9"/>
      <x v="85"/>
    </i>
    <i>
      <x v="2406"/>
      <x v="4"/>
      <x v="10"/>
    </i>
    <i>
      <x v="2407"/>
      <x v="19"/>
      <x v="17"/>
    </i>
    <i>
      <x v="2408"/>
      <x v="3"/>
      <x v="83"/>
    </i>
    <i>
      <x v="2409"/>
      <x v="6"/>
      <x v="48"/>
    </i>
    <i>
      <x v="2410"/>
      <x v="30"/>
      <x v="41"/>
    </i>
    <i>
      <x v="2411"/>
      <x v="15"/>
      <x v="6"/>
    </i>
    <i>
      <x v="2412"/>
      <x v="18"/>
      <x v="63"/>
    </i>
    <i>
      <x v="2413"/>
      <x v="28"/>
      <x v="92"/>
    </i>
    <i>
      <x v="2414"/>
      <x v="6"/>
      <x v="50"/>
    </i>
    <i>
      <x v="2415"/>
      <x v="21"/>
      <x v="27"/>
    </i>
    <i>
      <x v="2416"/>
      <x v="21"/>
      <x v="49"/>
    </i>
    <i>
      <x v="2417"/>
      <x v="24"/>
      <x v="66"/>
    </i>
    <i>
      <x v="2418"/>
      <x v="23"/>
      <x v="64"/>
    </i>
    <i>
      <x v="2419"/>
      <x v="23"/>
      <x v="93"/>
    </i>
    <i>
      <x v="2420"/>
      <x v="3"/>
      <x v="88"/>
    </i>
    <i>
      <x v="2421"/>
      <x v="3"/>
      <x v="16"/>
    </i>
    <i>
      <x v="2422"/>
      <x v="27"/>
      <x v="84"/>
    </i>
    <i>
      <x v="2423"/>
      <x v="10"/>
      <x v="20"/>
    </i>
    <i>
      <x v="2424"/>
      <x v="5"/>
      <x v="86"/>
    </i>
    <i>
      <x v="2425"/>
      <x v="9"/>
      <x v="31"/>
    </i>
    <i>
      <x v="2426"/>
      <x v="20"/>
      <x v="79"/>
    </i>
    <i>
      <x v="2427"/>
      <x v="8"/>
      <x v="35"/>
    </i>
    <i>
      <x v="2428"/>
      <x v="7"/>
      <x v="53"/>
    </i>
    <i>
      <x v="2429"/>
      <x/>
      <x v="47"/>
    </i>
    <i>
      <x v="2430"/>
      <x v="16"/>
      <x v="60"/>
    </i>
    <i>
      <x v="2431"/>
      <x v="17"/>
      <x v="24"/>
    </i>
    <i>
      <x v="2432"/>
      <x v="1"/>
      <x v="4"/>
    </i>
    <i>
      <x v="2433"/>
      <x v="24"/>
      <x v="74"/>
    </i>
    <i>
      <x v="2434"/>
      <x v="19"/>
      <x v="13"/>
    </i>
    <i>
      <x v="2435"/>
      <x v="12"/>
      <x v="77"/>
    </i>
    <i>
      <x v="2436"/>
      <x v="18"/>
      <x v="42"/>
    </i>
    <i>
      <x v="2437"/>
      <x v="4"/>
      <x v="2"/>
    </i>
    <i>
      <x v="2438"/>
      <x v="17"/>
      <x v="71"/>
    </i>
    <i>
      <x v="2439"/>
      <x v="15"/>
      <x v="70"/>
    </i>
    <i>
      <x v="2440"/>
      <x v="29"/>
      <x v="32"/>
    </i>
    <i>
      <x v="2441"/>
      <x v="1"/>
      <x v="90"/>
    </i>
    <i>
      <x v="2442"/>
      <x v="14"/>
      <x v="54"/>
    </i>
    <i>
      <x v="2443"/>
      <x v="24"/>
      <x v="19"/>
    </i>
    <i>
      <x v="2444"/>
      <x/>
      <x v="33"/>
    </i>
    <i>
      <x v="2445"/>
      <x v="6"/>
      <x v="99"/>
    </i>
    <i>
      <x v="2446"/>
      <x v="13"/>
      <x v="34"/>
    </i>
    <i>
      <x v="2447"/>
      <x v="2"/>
      <x v="72"/>
    </i>
    <i>
      <x v="2448"/>
      <x v="12"/>
      <x v="96"/>
    </i>
    <i>
      <x v="2449"/>
      <x v="1"/>
      <x v="58"/>
    </i>
    <i>
      <x v="2450"/>
      <x v="24"/>
      <x v="75"/>
    </i>
    <i>
      <x v="2451"/>
      <x v="5"/>
      <x v="98"/>
    </i>
    <i>
      <x v="2452"/>
      <x v="4"/>
      <x/>
    </i>
    <i>
      <x v="2453"/>
      <x v="25"/>
      <x v="5"/>
    </i>
    <i>
      <x v="2454"/>
      <x v="22"/>
      <x v="46"/>
    </i>
    <i>
      <x v="2455"/>
      <x v="2"/>
      <x v="85"/>
    </i>
    <i>
      <x v="2456"/>
      <x v="24"/>
      <x v="10"/>
    </i>
    <i>
      <x v="2457"/>
      <x v="12"/>
      <x v="17"/>
    </i>
    <i>
      <x v="2458"/>
      <x v="10"/>
      <x v="83"/>
    </i>
    <i>
      <x v="2459"/>
      <x v="30"/>
      <x v="48"/>
    </i>
    <i>
      <x v="2460"/>
      <x/>
      <x v="41"/>
    </i>
    <i>
      <x v="2461"/>
      <x v="5"/>
      <x v="6"/>
    </i>
    <i>
      <x v="2462"/>
      <x v="14"/>
      <x v="63"/>
    </i>
    <i>
      <x v="2463"/>
      <x v="23"/>
      <x v="92"/>
    </i>
    <i>
      <x v="2464"/>
      <x v="16"/>
      <x v="50"/>
    </i>
    <i>
      <x v="2465"/>
      <x v="16"/>
      <x v="27"/>
    </i>
    <i>
      <x v="2466"/>
      <x v="28"/>
      <x v="49"/>
    </i>
    <i>
      <x v="2467"/>
      <x v="1"/>
      <x v="66"/>
    </i>
    <i>
      <x v="2468"/>
      <x v="6"/>
      <x v="64"/>
    </i>
    <i>
      <x v="2469"/>
      <x v="18"/>
      <x v="93"/>
    </i>
    <i>
      <x v="2470"/>
      <x v="12"/>
      <x v="88"/>
    </i>
    <i>
      <x v="2471"/>
      <x v="28"/>
      <x v="16"/>
    </i>
    <i>
      <x v="2472"/>
      <x v="23"/>
      <x v="84"/>
    </i>
    <i>
      <x v="2473"/>
      <x v="11"/>
      <x v="20"/>
    </i>
    <i>
      <x v="2474"/>
      <x v="23"/>
      <x v="86"/>
    </i>
    <i>
      <x v="2475"/>
      <x v="1"/>
      <x v="31"/>
    </i>
    <i>
      <x v="2476"/>
      <x v="25"/>
      <x v="79"/>
    </i>
    <i>
      <x v="2477"/>
      <x v="4"/>
      <x v="35"/>
    </i>
    <i>
      <x v="2478"/>
      <x v="1"/>
      <x v="53"/>
    </i>
    <i>
      <x v="2479"/>
      <x v="8"/>
      <x v="47"/>
    </i>
    <i>
      <x v="2480"/>
      <x v="16"/>
      <x v="60"/>
    </i>
    <i>
      <x v="2481"/>
      <x v="7"/>
      <x v="24"/>
    </i>
    <i>
      <x v="2482"/>
      <x v="2"/>
      <x v="4"/>
    </i>
    <i>
      <x v="2483"/>
      <x v="7"/>
      <x v="7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Collected " fld="4" baseField="3" baseItem="59" numFmtId="165"/>
    <dataField name="Commission " fld="6" baseField="3" baseItem="59" numFmtId="165"/>
    <dataField name="Fees " fld="5" baseField="3" baseItem="59" numFmtId="165"/>
    <dataField name="Sum of Total Commission + Fees" fld="7" baseField="3" baseItem="59" numFmtId="165"/>
  </dataFields>
  <formats count="291">
    <format dxfId="301">
      <pivotArea outline="0" collapsedLevelsAreSubtotals="1" fieldPosition="0"/>
    </format>
    <format dxfId="300">
      <pivotArea field="-2" type="button" dataOnly="0" labelOnly="1" outline="0" axis="axisCol" fieldPosition="0"/>
    </format>
    <format dxfId="299">
      <pivotArea type="topRight" dataOnly="0" labelOnly="1" outline="0" fieldPosition="0"/>
    </format>
    <format dxfId="29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9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9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95">
      <pivotArea type="all" dataOnly="0" outline="0" fieldPosition="0"/>
    </format>
    <format dxfId="294">
      <pivotArea outline="0" collapsedLevelsAreSubtotals="1" fieldPosition="0"/>
    </format>
    <format dxfId="293">
      <pivotArea type="origin" dataOnly="0" labelOnly="1" outline="0" fieldPosition="0"/>
    </format>
    <format dxfId="292">
      <pivotArea field="-2" type="button" dataOnly="0" labelOnly="1" outline="0" axis="axisCol" fieldPosition="0"/>
    </format>
    <format dxfId="291">
      <pivotArea type="topRight" dataOnly="0" labelOnly="1" outline="0" fieldPosition="0"/>
    </format>
    <format dxfId="290">
      <pivotArea field="0" type="button" dataOnly="0" labelOnly="1" outline="0" axis="axisRow" fieldPosition="0"/>
    </format>
    <format dxfId="289">
      <pivotArea field="1" type="button" dataOnly="0" labelOnly="1" outline="0" axis="axisRow" fieldPosition="1"/>
    </format>
    <format dxfId="288">
      <pivotArea field="3" type="button" dataOnly="0" labelOnly="1" outline="0" axis="axisRow" fieldPosition="2"/>
    </format>
    <format dxfId="287">
      <pivotArea dataOnly="0" labelOnly="1" outline="0" fieldPosition="0">
        <references count="1">
          <reference field="0" count="50"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</reference>
        </references>
      </pivotArea>
    </format>
    <format dxfId="286">
      <pivotArea dataOnly="0" labelOnly="1" outline="0" fieldPosition="0">
        <references count="1">
          <reference field="0" count="50"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</reference>
        </references>
      </pivotArea>
    </format>
    <format dxfId="285">
      <pivotArea dataOnly="0" labelOnly="1" outline="0" fieldPosition="0">
        <references count="1">
          <reference field="0" count="38"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</reference>
        </references>
      </pivotArea>
    </format>
    <format dxfId="284">
      <pivotArea dataOnly="0" labelOnly="1" grandRow="1" outline="0" fieldPosition="0"/>
    </format>
    <format dxfId="283">
      <pivotArea dataOnly="0" labelOnly="1" outline="0" fieldPosition="0">
        <references count="2">
          <reference field="0" count="1" selected="0">
            <x v="414"/>
          </reference>
          <reference field="1" count="1">
            <x v="22"/>
          </reference>
        </references>
      </pivotArea>
    </format>
    <format dxfId="282">
      <pivotArea dataOnly="0" labelOnly="1" outline="0" fieldPosition="0">
        <references count="2">
          <reference field="0" count="1" selected="0">
            <x v="415"/>
          </reference>
          <reference field="1" count="1">
            <x v="17"/>
          </reference>
        </references>
      </pivotArea>
    </format>
    <format dxfId="281">
      <pivotArea dataOnly="0" labelOnly="1" outline="0" fieldPosition="0">
        <references count="2">
          <reference field="0" count="1" selected="0">
            <x v="416"/>
          </reference>
          <reference field="1" count="1">
            <x v="0"/>
          </reference>
        </references>
      </pivotArea>
    </format>
    <format dxfId="280">
      <pivotArea dataOnly="0" labelOnly="1" outline="0" fieldPosition="0">
        <references count="2">
          <reference field="0" count="1" selected="0">
            <x v="417"/>
          </reference>
          <reference field="1" count="1">
            <x v="28"/>
          </reference>
        </references>
      </pivotArea>
    </format>
    <format dxfId="279">
      <pivotArea dataOnly="0" labelOnly="1" outline="0" fieldPosition="0">
        <references count="2">
          <reference field="0" count="1" selected="0">
            <x v="418"/>
          </reference>
          <reference field="1" count="1">
            <x v="9"/>
          </reference>
        </references>
      </pivotArea>
    </format>
    <format dxfId="278">
      <pivotArea dataOnly="0" labelOnly="1" outline="0" fieldPosition="0">
        <references count="2">
          <reference field="0" count="1" selected="0">
            <x v="419"/>
          </reference>
          <reference field="1" count="1">
            <x v="11"/>
          </reference>
        </references>
      </pivotArea>
    </format>
    <format dxfId="277">
      <pivotArea dataOnly="0" labelOnly="1" outline="0" fieldPosition="0">
        <references count="2">
          <reference field="0" count="1" selected="0">
            <x v="420"/>
          </reference>
          <reference field="1" count="1">
            <x v="25"/>
          </reference>
        </references>
      </pivotArea>
    </format>
    <format dxfId="276">
      <pivotArea dataOnly="0" labelOnly="1" outline="0" fieldPosition="0">
        <references count="2">
          <reference field="0" count="1" selected="0">
            <x v="421"/>
          </reference>
          <reference field="1" count="1">
            <x v="2"/>
          </reference>
        </references>
      </pivotArea>
    </format>
    <format dxfId="275">
      <pivotArea dataOnly="0" labelOnly="1" outline="0" fieldPosition="0">
        <references count="2">
          <reference field="0" count="1" selected="0">
            <x v="423"/>
          </reference>
          <reference field="1" count="1">
            <x v="0"/>
          </reference>
        </references>
      </pivotArea>
    </format>
    <format dxfId="274">
      <pivotArea dataOnly="0" labelOnly="1" outline="0" fieldPosition="0">
        <references count="2">
          <reference field="0" count="1" selected="0">
            <x v="424"/>
          </reference>
          <reference field="1" count="1">
            <x v="16"/>
          </reference>
        </references>
      </pivotArea>
    </format>
    <format dxfId="273">
      <pivotArea dataOnly="0" labelOnly="1" outline="0" fieldPosition="0">
        <references count="2">
          <reference field="0" count="1" selected="0">
            <x v="425"/>
          </reference>
          <reference field="1" count="1">
            <x v="0"/>
          </reference>
        </references>
      </pivotArea>
    </format>
    <format dxfId="272">
      <pivotArea dataOnly="0" labelOnly="1" outline="0" fieldPosition="0">
        <references count="2">
          <reference field="0" count="1" selected="0">
            <x v="426"/>
          </reference>
          <reference field="1" count="1">
            <x v="5"/>
          </reference>
        </references>
      </pivotArea>
    </format>
    <format dxfId="271">
      <pivotArea dataOnly="0" labelOnly="1" outline="0" fieldPosition="0">
        <references count="2">
          <reference field="0" count="1" selected="0">
            <x v="427"/>
          </reference>
          <reference field="1" count="1">
            <x v="18"/>
          </reference>
        </references>
      </pivotArea>
    </format>
    <format dxfId="270">
      <pivotArea dataOnly="0" labelOnly="1" outline="0" fieldPosition="0">
        <references count="2">
          <reference field="0" count="1" selected="0">
            <x v="428"/>
          </reference>
          <reference field="1" count="1">
            <x v="2"/>
          </reference>
        </references>
      </pivotArea>
    </format>
    <format dxfId="269">
      <pivotArea dataOnly="0" labelOnly="1" outline="0" fieldPosition="0">
        <references count="2">
          <reference field="0" count="1" selected="0">
            <x v="429"/>
          </reference>
          <reference field="1" count="1">
            <x v="9"/>
          </reference>
        </references>
      </pivotArea>
    </format>
    <format dxfId="268">
      <pivotArea dataOnly="0" labelOnly="1" outline="0" fieldPosition="0">
        <references count="2">
          <reference field="0" count="1" selected="0">
            <x v="430"/>
          </reference>
          <reference field="1" count="1">
            <x v="13"/>
          </reference>
        </references>
      </pivotArea>
    </format>
    <format dxfId="267">
      <pivotArea dataOnly="0" labelOnly="1" outline="0" fieldPosition="0">
        <references count="2">
          <reference field="0" count="1" selected="0">
            <x v="431"/>
          </reference>
          <reference field="1" count="1">
            <x v="20"/>
          </reference>
        </references>
      </pivotArea>
    </format>
    <format dxfId="266">
      <pivotArea dataOnly="0" labelOnly="1" outline="0" fieldPosition="0">
        <references count="2">
          <reference field="0" count="1" selected="0">
            <x v="432"/>
          </reference>
          <reference field="1" count="1">
            <x v="8"/>
          </reference>
        </references>
      </pivotArea>
    </format>
    <format dxfId="265">
      <pivotArea dataOnly="0" labelOnly="1" outline="0" fieldPosition="0">
        <references count="2">
          <reference field="0" count="1" selected="0">
            <x v="433"/>
          </reference>
          <reference field="1" count="1">
            <x v="18"/>
          </reference>
        </references>
      </pivotArea>
    </format>
    <format dxfId="264">
      <pivotArea dataOnly="0" labelOnly="1" outline="0" fieldPosition="0">
        <references count="2">
          <reference field="0" count="1" selected="0">
            <x v="434"/>
          </reference>
          <reference field="1" count="1">
            <x v="11"/>
          </reference>
        </references>
      </pivotArea>
    </format>
    <format dxfId="263">
      <pivotArea dataOnly="0" labelOnly="1" outline="0" fieldPosition="0">
        <references count="2">
          <reference field="0" count="1" selected="0">
            <x v="435"/>
          </reference>
          <reference field="1" count="1">
            <x v="30"/>
          </reference>
        </references>
      </pivotArea>
    </format>
    <format dxfId="262">
      <pivotArea dataOnly="0" labelOnly="1" outline="0" fieldPosition="0">
        <references count="2">
          <reference field="0" count="1" selected="0">
            <x v="436"/>
          </reference>
          <reference field="1" count="1">
            <x v="17"/>
          </reference>
        </references>
      </pivotArea>
    </format>
    <format dxfId="261">
      <pivotArea dataOnly="0" labelOnly="1" outline="0" fieldPosition="0">
        <references count="2">
          <reference field="0" count="1" selected="0">
            <x v="437"/>
          </reference>
          <reference field="1" count="1">
            <x v="21"/>
          </reference>
        </references>
      </pivotArea>
    </format>
    <format dxfId="260">
      <pivotArea dataOnly="0" labelOnly="1" outline="0" fieldPosition="0">
        <references count="2">
          <reference field="0" count="1" selected="0">
            <x v="438"/>
          </reference>
          <reference field="1" count="1">
            <x v="20"/>
          </reference>
        </references>
      </pivotArea>
    </format>
    <format dxfId="259">
      <pivotArea dataOnly="0" labelOnly="1" outline="0" fieldPosition="0">
        <references count="2">
          <reference field="0" count="1" selected="0">
            <x v="439"/>
          </reference>
          <reference field="1" count="1">
            <x v="14"/>
          </reference>
        </references>
      </pivotArea>
    </format>
    <format dxfId="258">
      <pivotArea dataOnly="0" labelOnly="1" outline="0" fieldPosition="0">
        <references count="2">
          <reference field="0" count="1" selected="0">
            <x v="440"/>
          </reference>
          <reference field="1" count="1">
            <x v="1"/>
          </reference>
        </references>
      </pivotArea>
    </format>
    <format dxfId="257">
      <pivotArea dataOnly="0" labelOnly="1" outline="0" fieldPosition="0">
        <references count="2">
          <reference field="0" count="1" selected="0">
            <x v="441"/>
          </reference>
          <reference field="1" count="1">
            <x v="12"/>
          </reference>
        </references>
      </pivotArea>
    </format>
    <format dxfId="256">
      <pivotArea dataOnly="0" labelOnly="1" outline="0" fieldPosition="0">
        <references count="2">
          <reference field="0" count="1" selected="0">
            <x v="442"/>
          </reference>
          <reference field="1" count="1">
            <x v="2"/>
          </reference>
        </references>
      </pivotArea>
    </format>
    <format dxfId="255">
      <pivotArea dataOnly="0" labelOnly="1" outline="0" fieldPosition="0">
        <references count="2">
          <reference field="0" count="1" selected="0">
            <x v="443"/>
          </reference>
          <reference field="1" count="1">
            <x v="3"/>
          </reference>
        </references>
      </pivotArea>
    </format>
    <format dxfId="254">
      <pivotArea dataOnly="0" labelOnly="1" outline="0" fieldPosition="0">
        <references count="2">
          <reference field="0" count="1" selected="0">
            <x v="444"/>
          </reference>
          <reference field="1" count="1">
            <x v="25"/>
          </reference>
        </references>
      </pivotArea>
    </format>
    <format dxfId="253">
      <pivotArea dataOnly="0" labelOnly="1" outline="0" fieldPosition="0">
        <references count="2">
          <reference field="0" count="1" selected="0">
            <x v="445"/>
          </reference>
          <reference field="1" count="1">
            <x v="20"/>
          </reference>
        </references>
      </pivotArea>
    </format>
    <format dxfId="252">
      <pivotArea dataOnly="0" labelOnly="1" outline="0" fieldPosition="0">
        <references count="2">
          <reference field="0" count="1" selected="0">
            <x v="446"/>
          </reference>
          <reference field="1" count="1">
            <x v="25"/>
          </reference>
        </references>
      </pivotArea>
    </format>
    <format dxfId="251">
      <pivotArea dataOnly="0" labelOnly="1" outline="0" fieldPosition="0">
        <references count="2">
          <reference field="0" count="1" selected="0">
            <x v="447"/>
          </reference>
          <reference field="1" count="1">
            <x v="19"/>
          </reference>
        </references>
      </pivotArea>
    </format>
    <format dxfId="250">
      <pivotArea dataOnly="0" labelOnly="1" outline="0" fieldPosition="0">
        <references count="2">
          <reference field="0" count="1" selected="0">
            <x v="448"/>
          </reference>
          <reference field="1" count="1">
            <x v="3"/>
          </reference>
        </references>
      </pivotArea>
    </format>
    <format dxfId="249">
      <pivotArea dataOnly="0" labelOnly="1" outline="0" fieldPosition="0">
        <references count="2">
          <reference field="0" count="1" selected="0">
            <x v="450"/>
          </reference>
          <reference field="1" count="1">
            <x v="20"/>
          </reference>
        </references>
      </pivotArea>
    </format>
    <format dxfId="248">
      <pivotArea dataOnly="0" labelOnly="1" outline="0" fieldPosition="0">
        <references count="2">
          <reference field="0" count="1" selected="0">
            <x v="451"/>
          </reference>
          <reference field="1" count="1">
            <x v="5"/>
          </reference>
        </references>
      </pivotArea>
    </format>
    <format dxfId="247">
      <pivotArea dataOnly="0" labelOnly="1" outline="0" fieldPosition="0">
        <references count="2">
          <reference field="0" count="1" selected="0">
            <x v="452"/>
          </reference>
          <reference field="1" count="1">
            <x v="18"/>
          </reference>
        </references>
      </pivotArea>
    </format>
    <format dxfId="246">
      <pivotArea dataOnly="0" labelOnly="1" outline="0" fieldPosition="0">
        <references count="2">
          <reference field="0" count="1" selected="0">
            <x v="453"/>
          </reference>
          <reference field="1" count="1">
            <x v="9"/>
          </reference>
        </references>
      </pivotArea>
    </format>
    <format dxfId="245">
      <pivotArea dataOnly="0" labelOnly="1" outline="0" fieldPosition="0">
        <references count="2">
          <reference field="0" count="1" selected="0">
            <x v="454"/>
          </reference>
          <reference field="1" count="1">
            <x v="6"/>
          </reference>
        </references>
      </pivotArea>
    </format>
    <format dxfId="244">
      <pivotArea dataOnly="0" labelOnly="1" outline="0" fieldPosition="0">
        <references count="2">
          <reference field="0" count="1" selected="0">
            <x v="455"/>
          </reference>
          <reference field="1" count="1">
            <x v="18"/>
          </reference>
        </references>
      </pivotArea>
    </format>
    <format dxfId="243">
      <pivotArea dataOnly="0" labelOnly="1" outline="0" fieldPosition="0">
        <references count="2">
          <reference field="0" count="1" selected="0">
            <x v="456"/>
          </reference>
          <reference field="1" count="1">
            <x v="2"/>
          </reference>
        </references>
      </pivotArea>
    </format>
    <format dxfId="242">
      <pivotArea dataOnly="0" labelOnly="1" outline="0" fieldPosition="0">
        <references count="2">
          <reference field="0" count="1" selected="0">
            <x v="457"/>
          </reference>
          <reference field="1" count="1">
            <x v="13"/>
          </reference>
        </references>
      </pivotArea>
    </format>
    <format dxfId="241">
      <pivotArea dataOnly="0" labelOnly="1" outline="0" fieldPosition="0">
        <references count="2">
          <reference field="0" count="1" selected="0">
            <x v="458"/>
          </reference>
          <reference field="1" count="1">
            <x v="16"/>
          </reference>
        </references>
      </pivotArea>
    </format>
    <format dxfId="240">
      <pivotArea dataOnly="0" labelOnly="1" outline="0" fieldPosition="0">
        <references count="2">
          <reference field="0" count="1" selected="0">
            <x v="459"/>
          </reference>
          <reference field="1" count="1">
            <x v="13"/>
          </reference>
        </references>
      </pivotArea>
    </format>
    <format dxfId="239">
      <pivotArea dataOnly="0" labelOnly="1" outline="0" fieldPosition="0">
        <references count="2">
          <reference field="0" count="1" selected="0">
            <x v="460"/>
          </reference>
          <reference field="1" count="1">
            <x v="10"/>
          </reference>
        </references>
      </pivotArea>
    </format>
    <format dxfId="238">
      <pivotArea dataOnly="0" labelOnly="1" outline="0" fieldPosition="0">
        <references count="2">
          <reference field="0" count="1" selected="0">
            <x v="461"/>
          </reference>
          <reference field="1" count="1">
            <x v="12"/>
          </reference>
        </references>
      </pivotArea>
    </format>
    <format dxfId="237">
      <pivotArea dataOnly="0" labelOnly="1" outline="0" fieldPosition="0">
        <references count="2">
          <reference field="0" count="1" selected="0">
            <x v="462"/>
          </reference>
          <reference field="1" count="1">
            <x v="6"/>
          </reference>
        </references>
      </pivotArea>
    </format>
    <format dxfId="236">
      <pivotArea dataOnly="0" labelOnly="1" outline="0" fieldPosition="0">
        <references count="2">
          <reference field="0" count="1" selected="0">
            <x v="463"/>
          </reference>
          <reference field="1" count="1">
            <x v="25"/>
          </reference>
        </references>
      </pivotArea>
    </format>
    <format dxfId="235">
      <pivotArea dataOnly="0" labelOnly="1" outline="0" fieldPosition="0">
        <references count="2">
          <reference field="0" count="1" selected="0">
            <x v="464"/>
          </reference>
          <reference field="1" count="1">
            <x v="29"/>
          </reference>
        </references>
      </pivotArea>
    </format>
    <format dxfId="234">
      <pivotArea dataOnly="0" labelOnly="1" outline="0" fieldPosition="0">
        <references count="2">
          <reference field="0" count="1" selected="0">
            <x v="465"/>
          </reference>
          <reference field="1" count="1">
            <x v="14"/>
          </reference>
        </references>
      </pivotArea>
    </format>
    <format dxfId="233">
      <pivotArea dataOnly="0" labelOnly="1" outline="0" fieldPosition="0">
        <references count="2">
          <reference field="0" count="1" selected="0">
            <x v="466"/>
          </reference>
          <reference field="1" count="1">
            <x v="8"/>
          </reference>
        </references>
      </pivotArea>
    </format>
    <format dxfId="232">
      <pivotArea dataOnly="0" labelOnly="1" outline="0" fieldPosition="0">
        <references count="2">
          <reference field="0" count="1" selected="0">
            <x v="468"/>
          </reference>
          <reference field="1" count="1">
            <x v="22"/>
          </reference>
        </references>
      </pivotArea>
    </format>
    <format dxfId="231">
      <pivotArea dataOnly="0" labelOnly="1" outline="0" fieldPosition="0">
        <references count="2">
          <reference field="0" count="1" selected="0">
            <x v="469"/>
          </reference>
          <reference field="1" count="1">
            <x v="12"/>
          </reference>
        </references>
      </pivotArea>
    </format>
    <format dxfId="230">
      <pivotArea dataOnly="0" labelOnly="1" outline="0" fieldPosition="0">
        <references count="2">
          <reference field="0" count="1" selected="0">
            <x v="470"/>
          </reference>
          <reference field="1" count="1">
            <x v="20"/>
          </reference>
        </references>
      </pivotArea>
    </format>
    <format dxfId="229">
      <pivotArea dataOnly="0" labelOnly="1" outline="0" fieldPosition="0">
        <references count="2">
          <reference field="0" count="1" selected="0">
            <x v="471"/>
          </reference>
          <reference field="1" count="1">
            <x v="17"/>
          </reference>
        </references>
      </pivotArea>
    </format>
    <format dxfId="228">
      <pivotArea dataOnly="0" labelOnly="1" outline="0" fieldPosition="0">
        <references count="2">
          <reference field="0" count="1" selected="0">
            <x v="472"/>
          </reference>
          <reference field="1" count="1">
            <x v="14"/>
          </reference>
        </references>
      </pivotArea>
    </format>
    <format dxfId="227">
      <pivotArea dataOnly="0" labelOnly="1" outline="0" fieldPosition="0">
        <references count="2">
          <reference field="0" count="1" selected="0">
            <x v="473"/>
          </reference>
          <reference field="1" count="1">
            <x v="9"/>
          </reference>
        </references>
      </pivotArea>
    </format>
    <format dxfId="226">
      <pivotArea dataOnly="0" labelOnly="1" outline="0" fieldPosition="0">
        <references count="2">
          <reference field="0" count="1" selected="0">
            <x v="474"/>
          </reference>
          <reference field="1" count="1">
            <x v="12"/>
          </reference>
        </references>
      </pivotArea>
    </format>
    <format dxfId="225">
      <pivotArea dataOnly="0" labelOnly="1" outline="0" fieldPosition="0">
        <references count="2">
          <reference field="0" count="1" selected="0">
            <x v="475"/>
          </reference>
          <reference field="1" count="1">
            <x v="14"/>
          </reference>
        </references>
      </pivotArea>
    </format>
    <format dxfId="224">
      <pivotArea dataOnly="0" labelOnly="1" outline="0" fieldPosition="0">
        <references count="2">
          <reference field="0" count="1" selected="0">
            <x v="476"/>
          </reference>
          <reference field="1" count="1">
            <x v="27"/>
          </reference>
        </references>
      </pivotArea>
    </format>
    <format dxfId="223">
      <pivotArea dataOnly="0" labelOnly="1" outline="0" fieldPosition="0">
        <references count="2">
          <reference field="0" count="1" selected="0">
            <x v="477"/>
          </reference>
          <reference field="1" count="1">
            <x v="5"/>
          </reference>
        </references>
      </pivotArea>
    </format>
    <format dxfId="222">
      <pivotArea dataOnly="0" labelOnly="1" outline="0" fieldPosition="0">
        <references count="2">
          <reference field="0" count="1" selected="0">
            <x v="478"/>
          </reference>
          <reference field="1" count="1">
            <x v="10"/>
          </reference>
        </references>
      </pivotArea>
    </format>
    <format dxfId="221">
      <pivotArea dataOnly="0" labelOnly="1" outline="0" fieldPosition="0">
        <references count="2">
          <reference field="0" count="1" selected="0">
            <x v="479"/>
          </reference>
          <reference field="1" count="1">
            <x v="13"/>
          </reference>
        </references>
      </pivotArea>
    </format>
    <format dxfId="220">
      <pivotArea dataOnly="0" labelOnly="1" outline="0" fieldPosition="0">
        <references count="2">
          <reference field="0" count="1" selected="0">
            <x v="481"/>
          </reference>
          <reference field="1" count="1">
            <x v="15"/>
          </reference>
        </references>
      </pivotArea>
    </format>
    <format dxfId="219">
      <pivotArea dataOnly="0" labelOnly="1" outline="0" fieldPosition="0">
        <references count="2">
          <reference field="0" count="1" selected="0">
            <x v="482"/>
          </reference>
          <reference field="1" count="1">
            <x v="0"/>
          </reference>
        </references>
      </pivotArea>
    </format>
    <format dxfId="218">
      <pivotArea dataOnly="0" labelOnly="1" outline="0" fieldPosition="0">
        <references count="2">
          <reference field="0" count="1" selected="0">
            <x v="483"/>
          </reference>
          <reference field="1" count="1">
            <x v="5"/>
          </reference>
        </references>
      </pivotArea>
    </format>
    <format dxfId="217">
      <pivotArea dataOnly="0" labelOnly="1" outline="0" fieldPosition="0">
        <references count="2">
          <reference field="0" count="1" selected="0">
            <x v="484"/>
          </reference>
          <reference field="1" count="1">
            <x v="22"/>
          </reference>
        </references>
      </pivotArea>
    </format>
    <format dxfId="216">
      <pivotArea dataOnly="0" labelOnly="1" outline="0" fieldPosition="0">
        <references count="2">
          <reference field="0" count="1" selected="0">
            <x v="485"/>
          </reference>
          <reference field="1" count="1">
            <x v="28"/>
          </reference>
        </references>
      </pivotArea>
    </format>
    <format dxfId="215">
      <pivotArea dataOnly="0" labelOnly="1" outline="0" fieldPosition="0">
        <references count="2">
          <reference field="0" count="1" selected="0">
            <x v="486"/>
          </reference>
          <reference field="1" count="1">
            <x v="13"/>
          </reference>
        </references>
      </pivotArea>
    </format>
    <format dxfId="214">
      <pivotArea dataOnly="0" labelOnly="1" outline="0" fieldPosition="0">
        <references count="2">
          <reference field="0" count="1" selected="0">
            <x v="487"/>
          </reference>
          <reference field="1" count="1">
            <x v="8"/>
          </reference>
        </references>
      </pivotArea>
    </format>
    <format dxfId="213">
      <pivotArea dataOnly="0" labelOnly="1" outline="0" fieldPosition="0">
        <references count="2">
          <reference field="0" count="1" selected="0">
            <x v="488"/>
          </reference>
          <reference field="1" count="1">
            <x v="5"/>
          </reference>
        </references>
      </pivotArea>
    </format>
    <format dxfId="212">
      <pivotArea dataOnly="0" labelOnly="1" outline="0" fieldPosition="0">
        <references count="2">
          <reference field="0" count="1" selected="0">
            <x v="489"/>
          </reference>
          <reference field="1" count="1">
            <x v="12"/>
          </reference>
        </references>
      </pivotArea>
    </format>
    <format dxfId="211">
      <pivotArea dataOnly="0" labelOnly="1" outline="0" fieldPosition="0">
        <references count="2">
          <reference field="0" count="1" selected="0">
            <x v="490"/>
          </reference>
          <reference field="1" count="1">
            <x v="5"/>
          </reference>
        </references>
      </pivotArea>
    </format>
    <format dxfId="210">
      <pivotArea dataOnly="0" labelOnly="1" outline="0" fieldPosition="0">
        <references count="2">
          <reference field="0" count="1" selected="0">
            <x v="491"/>
          </reference>
          <reference field="1" count="1">
            <x v="7"/>
          </reference>
        </references>
      </pivotArea>
    </format>
    <format dxfId="209">
      <pivotArea dataOnly="0" labelOnly="1" outline="0" fieldPosition="0">
        <references count="2">
          <reference field="0" count="1" selected="0">
            <x v="492"/>
          </reference>
          <reference field="1" count="1">
            <x v="17"/>
          </reference>
        </references>
      </pivotArea>
    </format>
    <format dxfId="208">
      <pivotArea dataOnly="0" labelOnly="1" outline="0" fieldPosition="0">
        <references count="2">
          <reference field="0" count="1" selected="0">
            <x v="493"/>
          </reference>
          <reference field="1" count="1">
            <x v="27"/>
          </reference>
        </references>
      </pivotArea>
    </format>
    <format dxfId="207">
      <pivotArea dataOnly="0" labelOnly="1" outline="0" fieldPosition="0">
        <references count="2">
          <reference field="0" count="1" selected="0">
            <x v="494"/>
          </reference>
          <reference field="1" count="1">
            <x v="11"/>
          </reference>
        </references>
      </pivotArea>
    </format>
    <format dxfId="206">
      <pivotArea dataOnly="0" labelOnly="1" outline="0" fieldPosition="0">
        <references count="2">
          <reference field="0" count="1" selected="0">
            <x v="495"/>
          </reference>
          <reference field="1" count="1">
            <x v="28"/>
          </reference>
        </references>
      </pivotArea>
    </format>
    <format dxfId="205">
      <pivotArea dataOnly="0" labelOnly="1" outline="0" fieldPosition="0">
        <references count="2">
          <reference field="0" count="1" selected="0">
            <x v="496"/>
          </reference>
          <reference field="1" count="1">
            <x v="30"/>
          </reference>
        </references>
      </pivotArea>
    </format>
    <format dxfId="204">
      <pivotArea dataOnly="0" labelOnly="1" outline="0" fieldPosition="0">
        <references count="2">
          <reference field="0" count="1" selected="0">
            <x v="497"/>
          </reference>
          <reference field="1" count="1">
            <x v="12"/>
          </reference>
        </references>
      </pivotArea>
    </format>
    <format dxfId="203">
      <pivotArea dataOnly="0" labelOnly="1" outline="0" fieldPosition="0">
        <references count="2">
          <reference field="0" count="1" selected="0">
            <x v="498"/>
          </reference>
          <reference field="1" count="1">
            <x v="20"/>
          </reference>
        </references>
      </pivotArea>
    </format>
    <format dxfId="202">
      <pivotArea dataOnly="0" labelOnly="1" outline="0" fieldPosition="0">
        <references count="2">
          <reference field="0" count="1" selected="0">
            <x v="499"/>
          </reference>
          <reference field="1" count="1">
            <x v="18"/>
          </reference>
        </references>
      </pivotArea>
    </format>
    <format dxfId="201">
      <pivotArea dataOnly="0" labelOnly="1" outline="0" fieldPosition="0">
        <references count="2">
          <reference field="0" count="1" selected="0">
            <x v="500"/>
          </reference>
          <reference field="1" count="1">
            <x v="6"/>
          </reference>
        </references>
      </pivotArea>
    </format>
    <format dxfId="200">
      <pivotArea dataOnly="0" labelOnly="1" outline="0" fieldPosition="0">
        <references count="2">
          <reference field="0" count="1" selected="0">
            <x v="501"/>
          </reference>
          <reference field="1" count="1">
            <x v="25"/>
          </reference>
        </references>
      </pivotArea>
    </format>
    <format dxfId="199">
      <pivotArea dataOnly="0" labelOnly="1" outline="0" fieldPosition="0">
        <references count="2">
          <reference field="0" count="1" selected="0">
            <x v="502"/>
          </reference>
          <reference field="1" count="1">
            <x v="26"/>
          </reference>
        </references>
      </pivotArea>
    </format>
    <format dxfId="198">
      <pivotArea dataOnly="0" labelOnly="1" outline="0" fieldPosition="0">
        <references count="2">
          <reference field="0" count="1" selected="0">
            <x v="503"/>
          </reference>
          <reference field="1" count="1">
            <x v="12"/>
          </reference>
        </references>
      </pivotArea>
    </format>
    <format dxfId="197">
      <pivotArea dataOnly="0" labelOnly="1" outline="0" fieldPosition="0">
        <references count="2">
          <reference field="0" count="1" selected="0">
            <x v="504"/>
          </reference>
          <reference field="1" count="1">
            <x v="7"/>
          </reference>
        </references>
      </pivotArea>
    </format>
    <format dxfId="196">
      <pivotArea dataOnly="0" labelOnly="1" outline="0" fieldPosition="0">
        <references count="2">
          <reference field="0" count="1" selected="0">
            <x v="505"/>
          </reference>
          <reference field="1" count="1">
            <x v="21"/>
          </reference>
        </references>
      </pivotArea>
    </format>
    <format dxfId="195">
      <pivotArea dataOnly="0" labelOnly="1" outline="0" fieldPosition="0">
        <references count="2">
          <reference field="0" count="1" selected="0">
            <x v="506"/>
          </reference>
          <reference field="1" count="1">
            <x v="2"/>
          </reference>
        </references>
      </pivotArea>
    </format>
    <format dxfId="194">
      <pivotArea dataOnly="0" labelOnly="1" outline="0" fieldPosition="0">
        <references count="2">
          <reference field="0" count="1" selected="0">
            <x v="507"/>
          </reference>
          <reference field="1" count="1">
            <x v="12"/>
          </reference>
        </references>
      </pivotArea>
    </format>
    <format dxfId="193">
      <pivotArea dataOnly="0" labelOnly="1" outline="0" fieldPosition="0">
        <references count="2">
          <reference field="0" count="1" selected="0">
            <x v="508"/>
          </reference>
          <reference field="1" count="1">
            <x v="4"/>
          </reference>
        </references>
      </pivotArea>
    </format>
    <format dxfId="192">
      <pivotArea dataOnly="0" labelOnly="1" outline="0" fieldPosition="0">
        <references count="2">
          <reference field="0" count="1" selected="0">
            <x v="509"/>
          </reference>
          <reference field="1" count="1">
            <x v="20"/>
          </reference>
        </references>
      </pivotArea>
    </format>
    <format dxfId="191">
      <pivotArea dataOnly="0" labelOnly="1" outline="0" fieldPosition="0">
        <references count="2">
          <reference field="0" count="1" selected="0">
            <x v="510"/>
          </reference>
          <reference field="1" count="1">
            <x v="0"/>
          </reference>
        </references>
      </pivotArea>
    </format>
    <format dxfId="190">
      <pivotArea dataOnly="0" labelOnly="1" outline="0" fieldPosition="0">
        <references count="2">
          <reference field="0" count="1" selected="0">
            <x v="511"/>
          </reference>
          <reference field="1" count="1">
            <x v="29"/>
          </reference>
        </references>
      </pivotArea>
    </format>
    <format dxfId="189">
      <pivotArea dataOnly="0" labelOnly="1" outline="0" fieldPosition="0">
        <references count="2">
          <reference field="0" count="1" selected="0">
            <x v="512"/>
          </reference>
          <reference field="1" count="1">
            <x v="8"/>
          </reference>
        </references>
      </pivotArea>
    </format>
    <format dxfId="188">
      <pivotArea dataOnly="0" labelOnly="1" outline="0" fieldPosition="0">
        <references count="2">
          <reference field="0" count="1" selected="0">
            <x v="513"/>
          </reference>
          <reference field="1" count="1">
            <x v="17"/>
          </reference>
        </references>
      </pivotArea>
    </format>
    <format dxfId="187">
      <pivotArea dataOnly="0" labelOnly="1" outline="0" fieldPosition="0">
        <references count="2">
          <reference field="0" count="1" selected="0">
            <x v="514"/>
          </reference>
          <reference field="1" count="1">
            <x v="23"/>
          </reference>
        </references>
      </pivotArea>
    </format>
    <format dxfId="186">
      <pivotArea dataOnly="0" labelOnly="1" outline="0" fieldPosition="0">
        <references count="2">
          <reference field="0" count="1" selected="0">
            <x v="515"/>
          </reference>
          <reference field="1" count="1">
            <x v="7"/>
          </reference>
        </references>
      </pivotArea>
    </format>
    <format dxfId="185">
      <pivotArea dataOnly="0" labelOnly="1" outline="0" fieldPosition="0">
        <references count="2">
          <reference field="0" count="1" selected="0">
            <x v="516"/>
          </reference>
          <reference field="1" count="1">
            <x v="11"/>
          </reference>
        </references>
      </pivotArea>
    </format>
    <format dxfId="184">
      <pivotArea dataOnly="0" labelOnly="1" outline="0" fieldPosition="0">
        <references count="2">
          <reference field="0" count="1" selected="0">
            <x v="517"/>
          </reference>
          <reference field="1" count="1">
            <x v="2"/>
          </reference>
        </references>
      </pivotArea>
    </format>
    <format dxfId="183">
      <pivotArea dataOnly="0" labelOnly="1" outline="0" fieldPosition="0">
        <references count="2">
          <reference field="0" count="1" selected="0">
            <x v="518"/>
          </reference>
          <reference field="1" count="1">
            <x v="5"/>
          </reference>
        </references>
      </pivotArea>
    </format>
    <format dxfId="182">
      <pivotArea dataOnly="0" labelOnly="1" outline="0" fieldPosition="0">
        <references count="2">
          <reference field="0" count="1" selected="0">
            <x v="519"/>
          </reference>
          <reference field="1" count="1">
            <x v="23"/>
          </reference>
        </references>
      </pivotArea>
    </format>
    <format dxfId="181">
      <pivotArea dataOnly="0" labelOnly="1" outline="0" fieldPosition="0">
        <references count="2">
          <reference field="0" count="1" selected="0">
            <x v="520"/>
          </reference>
          <reference field="1" count="1">
            <x v="8"/>
          </reference>
        </references>
      </pivotArea>
    </format>
    <format dxfId="180">
      <pivotArea dataOnly="0" labelOnly="1" outline="0" fieldPosition="0">
        <references count="2">
          <reference field="0" count="1" selected="0">
            <x v="521"/>
          </reference>
          <reference field="1" count="1">
            <x v="10"/>
          </reference>
        </references>
      </pivotArea>
    </format>
    <format dxfId="179">
      <pivotArea dataOnly="0" labelOnly="1" outline="0" fieldPosition="0">
        <references count="2">
          <reference field="0" count="1" selected="0">
            <x v="522"/>
          </reference>
          <reference field="1" count="1">
            <x v="13"/>
          </reference>
        </references>
      </pivotArea>
    </format>
    <format dxfId="178">
      <pivotArea dataOnly="0" labelOnly="1" outline="0" fieldPosition="0">
        <references count="2">
          <reference field="0" count="1" selected="0">
            <x v="523"/>
          </reference>
          <reference field="1" count="1">
            <x v="2"/>
          </reference>
        </references>
      </pivotArea>
    </format>
    <format dxfId="177">
      <pivotArea dataOnly="0" labelOnly="1" outline="0" fieldPosition="0">
        <references count="2">
          <reference field="0" count="1" selected="0">
            <x v="524"/>
          </reference>
          <reference field="1" count="1">
            <x v="17"/>
          </reference>
        </references>
      </pivotArea>
    </format>
    <format dxfId="176">
      <pivotArea dataOnly="0" labelOnly="1" outline="0" fieldPosition="0">
        <references count="2">
          <reference field="0" count="1" selected="0">
            <x v="525"/>
          </reference>
          <reference field="1" count="1">
            <x v="12"/>
          </reference>
        </references>
      </pivotArea>
    </format>
    <format dxfId="175">
      <pivotArea dataOnly="0" labelOnly="1" outline="0" fieldPosition="0">
        <references count="2">
          <reference field="0" count="1" selected="0">
            <x v="526"/>
          </reference>
          <reference field="1" count="1">
            <x v="28"/>
          </reference>
        </references>
      </pivotArea>
    </format>
    <format dxfId="174">
      <pivotArea dataOnly="0" labelOnly="1" outline="0" fieldPosition="0">
        <references count="2">
          <reference field="0" count="1" selected="0">
            <x v="527"/>
          </reference>
          <reference field="1" count="1">
            <x v="20"/>
          </reference>
        </references>
      </pivotArea>
    </format>
    <format dxfId="173">
      <pivotArea dataOnly="0" labelOnly="1" outline="0" fieldPosition="0">
        <references count="2">
          <reference field="0" count="1" selected="0">
            <x v="528"/>
          </reference>
          <reference field="1" count="1">
            <x v="26"/>
          </reference>
        </references>
      </pivotArea>
    </format>
    <format dxfId="172">
      <pivotArea dataOnly="0" labelOnly="1" outline="0" fieldPosition="0">
        <references count="2">
          <reference field="0" count="1" selected="0">
            <x v="529"/>
          </reference>
          <reference field="1" count="1">
            <x v="18"/>
          </reference>
        </references>
      </pivotArea>
    </format>
    <format dxfId="171">
      <pivotArea dataOnly="0" labelOnly="1" outline="0" fieldPosition="0">
        <references count="2">
          <reference field="0" count="1" selected="0">
            <x v="530"/>
          </reference>
          <reference field="1" count="1">
            <x v="11"/>
          </reference>
        </references>
      </pivotArea>
    </format>
    <format dxfId="170">
      <pivotArea dataOnly="0" labelOnly="1" outline="0" fieldPosition="0">
        <references count="2">
          <reference field="0" count="1" selected="0">
            <x v="531"/>
          </reference>
          <reference field="1" count="1">
            <x v="29"/>
          </reference>
        </references>
      </pivotArea>
    </format>
    <format dxfId="169">
      <pivotArea dataOnly="0" labelOnly="1" outline="0" fieldPosition="0">
        <references count="2">
          <reference field="0" count="1" selected="0">
            <x v="532"/>
          </reference>
          <reference field="1" count="1">
            <x v="7"/>
          </reference>
        </references>
      </pivotArea>
    </format>
    <format dxfId="168">
      <pivotArea dataOnly="0" labelOnly="1" outline="0" fieldPosition="0">
        <references count="2">
          <reference field="0" count="1" selected="0">
            <x v="533"/>
          </reference>
          <reference field="1" count="1">
            <x v="9"/>
          </reference>
        </references>
      </pivotArea>
    </format>
    <format dxfId="167">
      <pivotArea dataOnly="0" labelOnly="1" outline="0" fieldPosition="0">
        <references count="2">
          <reference field="0" count="1" selected="0">
            <x v="534"/>
          </reference>
          <reference field="1" count="1">
            <x v="7"/>
          </reference>
        </references>
      </pivotArea>
    </format>
    <format dxfId="166">
      <pivotArea dataOnly="0" labelOnly="1" outline="0" fieldPosition="0">
        <references count="2">
          <reference field="0" count="1" selected="0">
            <x v="535"/>
          </reference>
          <reference field="1" count="1">
            <x v="5"/>
          </reference>
        </references>
      </pivotArea>
    </format>
    <format dxfId="165">
      <pivotArea dataOnly="0" labelOnly="1" outline="0" fieldPosition="0">
        <references count="2">
          <reference field="0" count="1" selected="0">
            <x v="536"/>
          </reference>
          <reference field="1" count="1">
            <x v="14"/>
          </reference>
        </references>
      </pivotArea>
    </format>
    <format dxfId="164">
      <pivotArea dataOnly="0" labelOnly="1" outline="0" fieldPosition="0">
        <references count="2">
          <reference field="0" count="1" selected="0">
            <x v="537"/>
          </reference>
          <reference field="1" count="1">
            <x v="30"/>
          </reference>
        </references>
      </pivotArea>
    </format>
    <format dxfId="163">
      <pivotArea dataOnly="0" labelOnly="1" outline="0" fieldPosition="0">
        <references count="2">
          <reference field="0" count="1" selected="0">
            <x v="538"/>
          </reference>
          <reference field="1" count="1">
            <x v="16"/>
          </reference>
        </references>
      </pivotArea>
    </format>
    <format dxfId="162">
      <pivotArea dataOnly="0" labelOnly="1" outline="0" fieldPosition="0">
        <references count="2">
          <reference field="0" count="1" selected="0">
            <x v="539"/>
          </reference>
          <reference field="1" count="1">
            <x v="11"/>
          </reference>
        </references>
      </pivotArea>
    </format>
    <format dxfId="161">
      <pivotArea dataOnly="0" labelOnly="1" outline="0" fieldPosition="0">
        <references count="2">
          <reference field="0" count="1" selected="0">
            <x v="540"/>
          </reference>
          <reference field="1" count="1">
            <x v="22"/>
          </reference>
        </references>
      </pivotArea>
    </format>
    <format dxfId="160">
      <pivotArea dataOnly="0" labelOnly="1" outline="0" fieldPosition="0">
        <references count="2">
          <reference field="0" count="1" selected="0">
            <x v="541"/>
          </reference>
          <reference field="1" count="1">
            <x v="27"/>
          </reference>
        </references>
      </pivotArea>
    </format>
    <format dxfId="159">
      <pivotArea dataOnly="0" labelOnly="1" outline="0" fieldPosition="0">
        <references count="2">
          <reference field="0" count="1" selected="0">
            <x v="542"/>
          </reference>
          <reference field="1" count="1">
            <x v="6"/>
          </reference>
        </references>
      </pivotArea>
    </format>
    <format dxfId="158">
      <pivotArea dataOnly="0" labelOnly="1" outline="0" fieldPosition="0">
        <references count="2">
          <reference field="0" count="1" selected="0">
            <x v="543"/>
          </reference>
          <reference field="1" count="1">
            <x v="16"/>
          </reference>
        </references>
      </pivotArea>
    </format>
    <format dxfId="157">
      <pivotArea dataOnly="0" labelOnly="1" outline="0" fieldPosition="0">
        <references count="2">
          <reference field="0" count="1" selected="0">
            <x v="544"/>
          </reference>
          <reference field="1" count="1">
            <x v="11"/>
          </reference>
        </references>
      </pivotArea>
    </format>
    <format dxfId="156">
      <pivotArea dataOnly="0" labelOnly="1" outline="0" fieldPosition="0">
        <references count="2">
          <reference field="0" count="1" selected="0">
            <x v="545"/>
          </reference>
          <reference field="1" count="1">
            <x v="24"/>
          </reference>
        </references>
      </pivotArea>
    </format>
    <format dxfId="155">
      <pivotArea dataOnly="0" labelOnly="1" outline="0" fieldPosition="0">
        <references count="2">
          <reference field="0" count="1" selected="0">
            <x v="546"/>
          </reference>
          <reference field="1" count="1">
            <x v="5"/>
          </reference>
        </references>
      </pivotArea>
    </format>
    <format dxfId="154">
      <pivotArea dataOnly="0" labelOnly="1" outline="0" fieldPosition="0">
        <references count="2">
          <reference field="0" count="1" selected="0">
            <x v="547"/>
          </reference>
          <reference field="1" count="1">
            <x v="12"/>
          </reference>
        </references>
      </pivotArea>
    </format>
    <format dxfId="153">
      <pivotArea dataOnly="0" labelOnly="1" outline="0" fieldPosition="0">
        <references count="2">
          <reference field="0" count="1" selected="0">
            <x v="548"/>
          </reference>
          <reference field="1" count="1">
            <x v="24"/>
          </reference>
        </references>
      </pivotArea>
    </format>
    <format dxfId="152">
      <pivotArea dataOnly="0" labelOnly="1" outline="0" fieldPosition="0">
        <references count="2">
          <reference field="0" count="1" selected="0">
            <x v="549"/>
          </reference>
          <reference field="1" count="1">
            <x v="15"/>
          </reference>
        </references>
      </pivotArea>
    </format>
    <format dxfId="151">
      <pivotArea dataOnly="0" labelOnly="1" outline="0" fieldPosition="0">
        <references count="2">
          <reference field="0" count="1" selected="0">
            <x v="550"/>
          </reference>
          <reference field="1" count="1">
            <x v="28"/>
          </reference>
        </references>
      </pivotArea>
    </format>
    <format dxfId="150">
      <pivotArea dataOnly="0" labelOnly="1" outline="0" fieldPosition="0">
        <references count="2">
          <reference field="0" count="1" selected="0">
            <x v="551"/>
          </reference>
          <reference field="1" count="1">
            <x v="20"/>
          </reference>
        </references>
      </pivotArea>
    </format>
    <format dxfId="149">
      <pivotArea dataOnly="0" labelOnly="1" outline="0" fieldPosition="0">
        <references count="3">
          <reference field="0" count="1" selected="0">
            <x v="414"/>
          </reference>
          <reference field="1" count="1" selected="0">
            <x v="22"/>
          </reference>
          <reference field="3" count="1">
            <x v="67"/>
          </reference>
        </references>
      </pivotArea>
    </format>
    <format dxfId="148">
      <pivotArea dataOnly="0" labelOnly="1" outline="0" fieldPosition="0">
        <references count="3">
          <reference field="0" count="1" selected="0">
            <x v="415"/>
          </reference>
          <reference field="1" count="1" selected="0">
            <x v="17"/>
          </reference>
          <reference field="3" count="1">
            <x v="23"/>
          </reference>
        </references>
      </pivotArea>
    </format>
    <format dxfId="147">
      <pivotArea dataOnly="0" labelOnly="1" outline="0" fieldPosition="0">
        <references count="3">
          <reference field="0" count="1" selected="0">
            <x v="416"/>
          </reference>
          <reference field="1" count="1" selected="0">
            <x v="0"/>
          </reference>
          <reference field="3" count="1">
            <x v="14"/>
          </reference>
        </references>
      </pivotArea>
    </format>
    <format dxfId="146">
      <pivotArea dataOnly="0" labelOnly="1" outline="0" fieldPosition="0">
        <references count="3">
          <reference field="0" count="1" selected="0">
            <x v="417"/>
          </reference>
          <reference field="1" count="1" selected="0">
            <x v="28"/>
          </reference>
          <reference field="3" count="1">
            <x v="59"/>
          </reference>
        </references>
      </pivotArea>
    </format>
    <format dxfId="145">
      <pivotArea dataOnly="0" labelOnly="1" outline="0" fieldPosition="0">
        <references count="3">
          <reference field="0" count="1" selected="0">
            <x v="418"/>
          </reference>
          <reference field="1" count="1" selected="0">
            <x v="9"/>
          </reference>
          <reference field="3" count="1">
            <x v="45"/>
          </reference>
        </references>
      </pivotArea>
    </format>
    <format dxfId="144">
      <pivotArea dataOnly="0" labelOnly="1" outline="0" fieldPosition="0">
        <references count="3">
          <reference field="0" count="1" selected="0">
            <x v="419"/>
          </reference>
          <reference field="1" count="1" selected="0">
            <x v="11"/>
          </reference>
          <reference field="3" count="1">
            <x v="21"/>
          </reference>
        </references>
      </pivotArea>
    </format>
    <format dxfId="143">
      <pivotArea dataOnly="0" labelOnly="1" outline="0" fieldPosition="0">
        <references count="3">
          <reference field="0" count="1" selected="0">
            <x v="420"/>
          </reference>
          <reference field="1" count="1" selected="0">
            <x v="25"/>
          </reference>
          <reference field="3" count="1">
            <x v="95"/>
          </reference>
        </references>
      </pivotArea>
    </format>
    <format dxfId="142">
      <pivotArea dataOnly="0" labelOnly="1" outline="0" fieldPosition="0">
        <references count="3">
          <reference field="0" count="1" selected="0">
            <x v="421"/>
          </reference>
          <reference field="1" count="1" selected="0">
            <x v="2"/>
          </reference>
          <reference field="3" count="1">
            <x v="56"/>
          </reference>
        </references>
      </pivotArea>
    </format>
    <format dxfId="141">
      <pivotArea dataOnly="0" labelOnly="1" outline="0" fieldPosition="0">
        <references count="3">
          <reference field="0" count="1" selected="0">
            <x v="422"/>
          </reference>
          <reference field="1" count="1" selected="0">
            <x v="2"/>
          </reference>
          <reference field="3" count="1">
            <x v="68"/>
          </reference>
        </references>
      </pivotArea>
    </format>
    <format dxfId="140">
      <pivotArea dataOnly="0" labelOnly="1" outline="0" fieldPosition="0">
        <references count="3">
          <reference field="0" count="1" selected="0">
            <x v="423"/>
          </reference>
          <reference field="1" count="1" selected="0">
            <x v="0"/>
          </reference>
          <reference field="3" count="1">
            <x v="12"/>
          </reference>
        </references>
      </pivotArea>
    </format>
    <format dxfId="139">
      <pivotArea dataOnly="0" labelOnly="1" outline="0" fieldPosition="0">
        <references count="3">
          <reference field="0" count="1" selected="0">
            <x v="424"/>
          </reference>
          <reference field="1" count="1" selected="0">
            <x v="16"/>
          </reference>
          <reference field="3" count="1">
            <x v="82"/>
          </reference>
        </references>
      </pivotArea>
    </format>
    <format dxfId="138">
      <pivotArea dataOnly="0" labelOnly="1" outline="0" fieldPosition="0">
        <references count="3">
          <reference field="0" count="1" selected="0">
            <x v="425"/>
          </reference>
          <reference field="1" count="1" selected="0">
            <x v="0"/>
          </reference>
          <reference field="3" count="1">
            <x v="51"/>
          </reference>
        </references>
      </pivotArea>
    </format>
    <format dxfId="137">
      <pivotArea dataOnly="0" labelOnly="1" outline="0" fieldPosition="0">
        <references count="3">
          <reference field="0" count="1" selected="0">
            <x v="426"/>
          </reference>
          <reference field="1" count="1" selected="0">
            <x v="5"/>
          </reference>
          <reference field="3" count="1">
            <x v="26"/>
          </reference>
        </references>
      </pivotArea>
    </format>
    <format dxfId="136">
      <pivotArea dataOnly="0" labelOnly="1" outline="0" fieldPosition="0">
        <references count="3">
          <reference field="0" count="1" selected="0">
            <x v="427"/>
          </reference>
          <reference field="1" count="1" selected="0">
            <x v="18"/>
          </reference>
          <reference field="3" count="1">
            <x v="87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428"/>
          </reference>
          <reference field="1" count="1" selected="0">
            <x v="2"/>
          </reference>
          <reference field="3" count="1">
            <x v="57"/>
          </reference>
        </references>
      </pivotArea>
    </format>
    <format dxfId="134">
      <pivotArea dataOnly="0" labelOnly="1" outline="0" fieldPosition="0">
        <references count="3">
          <reference field="0" count="1" selected="0">
            <x v="429"/>
          </reference>
          <reference field="1" count="1" selected="0">
            <x v="9"/>
          </reference>
          <reference field="3" count="1">
            <x v="81"/>
          </reference>
        </references>
      </pivotArea>
    </format>
    <format dxfId="133">
      <pivotArea dataOnly="0" labelOnly="1" outline="0" fieldPosition="0">
        <references count="3">
          <reference field="0" count="1" selected="0">
            <x v="430"/>
          </reference>
          <reference field="1" count="1" selected="0">
            <x v="13"/>
          </reference>
          <reference field="3" count="1">
            <x v="18"/>
          </reference>
        </references>
      </pivotArea>
    </format>
    <format dxfId="132">
      <pivotArea dataOnly="0" labelOnly="1" outline="0" fieldPosition="0">
        <references count="3">
          <reference field="0" count="1" selected="0">
            <x v="431"/>
          </reference>
          <reference field="1" count="1" selected="0">
            <x v="20"/>
          </reference>
          <reference field="3" count="1">
            <x v="28"/>
          </reference>
        </references>
      </pivotArea>
    </format>
    <format dxfId="131">
      <pivotArea dataOnly="0" labelOnly="1" outline="0" fieldPosition="0">
        <references count="3">
          <reference field="0" count="1" selected="0">
            <x v="432"/>
          </reference>
          <reference field="1" count="1" selected="0">
            <x v="8"/>
          </reference>
          <reference field="3" count="1">
            <x v="43"/>
          </reference>
        </references>
      </pivotArea>
    </format>
    <format dxfId="130">
      <pivotArea dataOnly="0" labelOnly="1" outline="0" fieldPosition="0">
        <references count="3">
          <reference field="0" count="1" selected="0">
            <x v="433"/>
          </reference>
          <reference field="1" count="1" selected="0">
            <x v="18"/>
          </reference>
          <reference field="3" count="1">
            <x v="52"/>
          </reference>
        </references>
      </pivotArea>
    </format>
    <format dxfId="129">
      <pivotArea dataOnly="0" labelOnly="1" outline="0" fieldPosition="0">
        <references count="3">
          <reference field="0" count="1" selected="0">
            <x v="434"/>
          </reference>
          <reference field="1" count="1" selected="0">
            <x v="11"/>
          </reference>
          <reference field="3" count="1">
            <x v="89"/>
          </reference>
        </references>
      </pivotArea>
    </format>
    <format dxfId="128">
      <pivotArea dataOnly="0" labelOnly="1" outline="0" fieldPosition="0">
        <references count="3">
          <reference field="0" count="1" selected="0">
            <x v="435"/>
          </reference>
          <reference field="1" count="1" selected="0">
            <x v="30"/>
          </reference>
          <reference field="3" count="1">
            <x v="55"/>
          </reference>
        </references>
      </pivotArea>
    </format>
    <format dxfId="127">
      <pivotArea dataOnly="0" labelOnly="1" outline="0" fieldPosition="0">
        <references count="3">
          <reference field="0" count="1" selected="0">
            <x v="436"/>
          </reference>
          <reference field="1" count="1" selected="0">
            <x v="17"/>
          </reference>
          <reference field="3" count="1">
            <x v="73"/>
          </reference>
        </references>
      </pivotArea>
    </format>
    <format dxfId="126">
      <pivotArea dataOnly="0" labelOnly="1" outline="0" fieldPosition="0">
        <references count="3">
          <reference field="0" count="1" selected="0">
            <x v="437"/>
          </reference>
          <reference field="1" count="1" selected="0">
            <x v="21"/>
          </reference>
          <reference field="3" count="1">
            <x v="97"/>
          </reference>
        </references>
      </pivotArea>
    </format>
    <format dxfId="125">
      <pivotArea dataOnly="0" labelOnly="1" outline="0" fieldPosition="0">
        <references count="3">
          <reference field="0" count="1" selected="0">
            <x v="438"/>
          </reference>
          <reference field="1" count="1" selected="0">
            <x v="20"/>
          </reference>
          <reference field="3" count="1">
            <x v="15"/>
          </reference>
        </references>
      </pivotArea>
    </format>
    <format dxfId="124">
      <pivotArea dataOnly="0" labelOnly="1" outline="0" fieldPosition="0">
        <references count="3">
          <reference field="0" count="1" selected="0">
            <x v="439"/>
          </reference>
          <reference field="1" count="1" selected="0">
            <x v="14"/>
          </reference>
          <reference field="3" count="1">
            <x v="29"/>
          </reference>
        </references>
      </pivotArea>
    </format>
    <format dxfId="123">
      <pivotArea dataOnly="0" labelOnly="1" outline="0" fieldPosition="0">
        <references count="3">
          <reference field="0" count="1" selected="0">
            <x v="440"/>
          </reference>
          <reference field="1" count="1" selected="0">
            <x v="1"/>
          </reference>
          <reference field="3" count="1">
            <x v="1"/>
          </reference>
        </references>
      </pivotArea>
    </format>
    <format dxfId="122">
      <pivotArea dataOnly="0" labelOnly="1" outline="0" fieldPosition="0">
        <references count="3">
          <reference field="0" count="1" selected="0">
            <x v="441"/>
          </reference>
          <reference field="1" count="1" selected="0">
            <x v="12"/>
          </reference>
          <reference field="3" count="1">
            <x v="37"/>
          </reference>
        </references>
      </pivotArea>
    </format>
    <format dxfId="121">
      <pivotArea dataOnly="0" labelOnly="1" outline="0" fieldPosition="0">
        <references count="3">
          <reference field="0" count="1" selected="0">
            <x v="442"/>
          </reference>
          <reference field="1" count="1" selected="0">
            <x v="2"/>
          </reference>
          <reference field="3" count="1">
            <x v="8"/>
          </reference>
        </references>
      </pivotArea>
    </format>
    <format dxfId="120">
      <pivotArea dataOnly="0" labelOnly="1" outline="0" fieldPosition="0">
        <references count="3">
          <reference field="0" count="1" selected="0">
            <x v="443"/>
          </reference>
          <reference field="1" count="1" selected="0">
            <x v="3"/>
          </reference>
          <reference field="3" count="1">
            <x v="30"/>
          </reference>
        </references>
      </pivotArea>
    </format>
    <format dxfId="119">
      <pivotArea dataOnly="0" labelOnly="1" outline="0" fieldPosition="0">
        <references count="3">
          <reference field="0" count="1" selected="0">
            <x v="444"/>
          </reference>
          <reference field="1" count="1" selected="0">
            <x v="25"/>
          </reference>
          <reference field="3" count="1">
            <x v="11"/>
          </reference>
        </references>
      </pivotArea>
    </format>
    <format dxfId="118">
      <pivotArea dataOnly="0" labelOnly="1" outline="0" fieldPosition="0">
        <references count="3">
          <reference field="0" count="1" selected="0">
            <x v="445"/>
          </reference>
          <reference field="1" count="1" selected="0">
            <x v="20"/>
          </reference>
          <reference field="3" count="1">
            <x v="7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446"/>
          </reference>
          <reference field="1" count="1" selected="0">
            <x v="25"/>
          </reference>
          <reference field="3" count="1">
            <x v="69"/>
          </reference>
        </references>
      </pivotArea>
    </format>
    <format dxfId="116">
      <pivotArea dataOnly="0" labelOnly="1" outline="0" fieldPosition="0">
        <references count="3">
          <reference field="0" count="1" selected="0">
            <x v="447"/>
          </reference>
          <reference field="1" count="1" selected="0">
            <x v="19"/>
          </reference>
          <reference field="3" count="1">
            <x v="25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448"/>
          </reference>
          <reference field="1" count="1" selected="0">
            <x v="3"/>
          </reference>
          <reference field="3" count="1">
            <x v="62"/>
          </reference>
        </references>
      </pivotArea>
    </format>
    <format dxfId="114">
      <pivotArea dataOnly="0" labelOnly="1" outline="0" fieldPosition="0">
        <references count="3">
          <reference field="0" count="1" selected="0">
            <x v="449"/>
          </reference>
          <reference field="1" count="1" selected="0">
            <x v="3"/>
          </reference>
          <reference field="3" count="1">
            <x v="80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450"/>
          </reference>
          <reference field="1" count="1" selected="0">
            <x v="20"/>
          </reference>
          <reference field="3" count="1">
            <x v="61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451"/>
          </reference>
          <reference field="1" count="1" selected="0">
            <x v="5"/>
          </reference>
          <reference field="3" count="1">
            <x v="9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452"/>
          </reference>
          <reference field="1" count="1" selected="0">
            <x v="18"/>
          </reference>
          <reference field="3" count="1">
            <x v="40"/>
          </reference>
        </references>
      </pivotArea>
    </format>
    <format dxfId="110">
      <pivotArea dataOnly="0" labelOnly="1" outline="0" fieldPosition="0">
        <references count="3">
          <reference field="0" count="1" selected="0">
            <x v="453"/>
          </reference>
          <reference field="1" count="1" selected="0">
            <x v="9"/>
          </reference>
          <reference field="3" count="1">
            <x v="36"/>
          </reference>
        </references>
      </pivotArea>
    </format>
    <format dxfId="109">
      <pivotArea dataOnly="0" labelOnly="1" outline="0" fieldPosition="0">
        <references count="3">
          <reference field="0" count="1" selected="0">
            <x v="454"/>
          </reference>
          <reference field="1" count="1" selected="0">
            <x v="6"/>
          </reference>
          <reference field="3" count="1">
            <x v="3"/>
          </reference>
        </references>
      </pivotArea>
    </format>
    <format dxfId="108">
      <pivotArea dataOnly="0" labelOnly="1" outline="0" fieldPosition="0">
        <references count="3">
          <reference field="0" count="1" selected="0">
            <x v="455"/>
          </reference>
          <reference field="1" count="1" selected="0">
            <x v="18"/>
          </reference>
          <reference field="3" count="1">
            <x v="22"/>
          </reference>
        </references>
      </pivotArea>
    </format>
    <format dxfId="107">
      <pivotArea dataOnly="0" labelOnly="1" outline="0" fieldPosition="0">
        <references count="3">
          <reference field="0" count="1" selected="0">
            <x v="456"/>
          </reference>
          <reference field="1" count="1" selected="0">
            <x v="2"/>
          </reference>
          <reference field="3" count="1">
            <x v="65"/>
          </reference>
        </references>
      </pivotArea>
    </format>
    <format dxfId="106">
      <pivotArea dataOnly="0" labelOnly="1" outline="0" fieldPosition="0">
        <references count="3">
          <reference field="0" count="1" selected="0">
            <x v="457"/>
          </reference>
          <reference field="1" count="1" selected="0">
            <x v="13"/>
          </reference>
          <reference field="3" count="1">
            <x v="78"/>
          </reference>
        </references>
      </pivotArea>
    </format>
    <format dxfId="105">
      <pivotArea dataOnly="0" labelOnly="1" outline="0" fieldPosition="0">
        <references count="3">
          <reference field="0" count="1" selected="0">
            <x v="458"/>
          </reference>
          <reference field="1" count="1" selected="0">
            <x v="16"/>
          </reference>
          <reference field="3" count="1">
            <x v="44"/>
          </reference>
        </references>
      </pivotArea>
    </format>
    <format dxfId="104">
      <pivotArea dataOnly="0" labelOnly="1" outline="0" fieldPosition="0">
        <references count="3">
          <reference field="0" count="1" selected="0">
            <x v="459"/>
          </reference>
          <reference field="1" count="1" selected="0">
            <x v="13"/>
          </reference>
          <reference field="3" count="1">
            <x v="38"/>
          </reference>
        </references>
      </pivotArea>
    </format>
    <format dxfId="103">
      <pivotArea dataOnly="0" labelOnly="1" outline="0" fieldPosition="0">
        <references count="3">
          <reference field="0" count="1" selected="0">
            <x v="460"/>
          </reference>
          <reference field="1" count="1" selected="0">
            <x v="10"/>
          </reference>
          <reference field="3" count="1">
            <x v="76"/>
          </reference>
        </references>
      </pivotArea>
    </format>
    <format dxfId="102">
      <pivotArea dataOnly="0" labelOnly="1" outline="0" fieldPosition="0">
        <references count="3">
          <reference field="0" count="1" selected="0">
            <x v="461"/>
          </reference>
          <reference field="1" count="1" selected="0">
            <x v="12"/>
          </reference>
          <reference field="3" count="1">
            <x v="91"/>
          </reference>
        </references>
      </pivotArea>
    </format>
    <format dxfId="101">
      <pivotArea dataOnly="0" labelOnly="1" outline="0" fieldPosition="0">
        <references count="3">
          <reference field="0" count="1" selected="0">
            <x v="462"/>
          </reference>
          <reference field="1" count="1" selected="0">
            <x v="6"/>
          </reference>
          <reference field="3" count="1">
            <x v="39"/>
          </reference>
        </references>
      </pivotArea>
    </format>
    <format dxfId="100">
      <pivotArea dataOnly="0" labelOnly="1" outline="0" fieldPosition="0">
        <references count="3">
          <reference field="0" count="1" selected="0">
            <x v="463"/>
          </reference>
          <reference field="1" count="1" selected="0">
            <x v="25"/>
          </reference>
          <reference field="3" count="1">
            <x v="94"/>
          </reference>
        </references>
      </pivotArea>
    </format>
    <format dxfId="99">
      <pivotArea dataOnly="0" labelOnly="1" outline="0" fieldPosition="0">
        <references count="3">
          <reference field="0" count="1" selected="0">
            <x v="464"/>
          </reference>
          <reference field="1" count="1" selected="0">
            <x v="29"/>
          </reference>
          <reference field="3" count="1">
            <x v="34"/>
          </reference>
        </references>
      </pivotArea>
    </format>
    <format dxfId="98">
      <pivotArea dataOnly="0" labelOnly="1" outline="0" fieldPosition="0">
        <references count="3">
          <reference field="0" count="1" selected="0">
            <x v="465"/>
          </reference>
          <reference field="1" count="1" selected="0">
            <x v="14"/>
          </reference>
          <reference field="3" count="1">
            <x v="72"/>
          </reference>
        </references>
      </pivotArea>
    </format>
    <format dxfId="97">
      <pivotArea dataOnly="0" labelOnly="1" outline="0" fieldPosition="0">
        <references count="3">
          <reference field="0" count="1" selected="0">
            <x v="466"/>
          </reference>
          <reference field="1" count="1" selected="0">
            <x v="8"/>
          </reference>
          <reference field="3" count="1">
            <x v="96"/>
          </reference>
        </references>
      </pivotArea>
    </format>
    <format dxfId="96">
      <pivotArea dataOnly="0" labelOnly="1" outline="0" fieldPosition="0">
        <references count="3">
          <reference field="0" count="1" selected="0">
            <x v="467"/>
          </reference>
          <reference field="1" count="1" selected="0">
            <x v="8"/>
          </reference>
          <reference field="3" count="1">
            <x v="58"/>
          </reference>
        </references>
      </pivotArea>
    </format>
    <format dxfId="95">
      <pivotArea dataOnly="0" labelOnly="1" outline="0" fieldPosition="0">
        <references count="3">
          <reference field="0" count="1" selected="0">
            <x v="468"/>
          </reference>
          <reference field="1" count="1" selected="0">
            <x v="22"/>
          </reference>
          <reference field="3" count="1">
            <x v="75"/>
          </reference>
        </references>
      </pivotArea>
    </format>
    <format dxfId="94">
      <pivotArea dataOnly="0" labelOnly="1" outline="0" fieldPosition="0">
        <references count="3">
          <reference field="0" count="1" selected="0">
            <x v="469"/>
          </reference>
          <reference field="1" count="1" selected="0">
            <x v="12"/>
          </reference>
          <reference field="3" count="1">
            <x v="98"/>
          </reference>
        </references>
      </pivotArea>
    </format>
    <format dxfId="93">
      <pivotArea dataOnly="0" labelOnly="1" outline="0" fieldPosition="0">
        <references count="3">
          <reference field="0" count="1" selected="0">
            <x v="470"/>
          </reference>
          <reference field="1" count="1" selected="0">
            <x v="20"/>
          </reference>
          <reference field="3" count="1">
            <x v="0"/>
          </reference>
        </references>
      </pivotArea>
    </format>
    <format dxfId="92">
      <pivotArea dataOnly="0" labelOnly="1" outline="0" fieldPosition="0">
        <references count="3">
          <reference field="0" count="1" selected="0">
            <x v="471"/>
          </reference>
          <reference field="1" count="1" selected="0">
            <x v="17"/>
          </reference>
          <reference field="3" count="1">
            <x v="5"/>
          </reference>
        </references>
      </pivotArea>
    </format>
    <format dxfId="91">
      <pivotArea dataOnly="0" labelOnly="1" outline="0" fieldPosition="0">
        <references count="3">
          <reference field="0" count="1" selected="0">
            <x v="472"/>
          </reference>
          <reference field="1" count="1" selected="0">
            <x v="14"/>
          </reference>
          <reference field="3" count="1">
            <x v="46"/>
          </reference>
        </references>
      </pivotArea>
    </format>
    <format dxfId="90">
      <pivotArea dataOnly="0" labelOnly="1" outline="0" fieldPosition="0">
        <references count="3">
          <reference field="0" count="1" selected="0">
            <x v="473"/>
          </reference>
          <reference field="1" count="1" selected="0">
            <x v="9"/>
          </reference>
          <reference field="3" count="1">
            <x v="85"/>
          </reference>
        </references>
      </pivotArea>
    </format>
    <format dxfId="89">
      <pivotArea dataOnly="0" labelOnly="1" outline="0" fieldPosition="0">
        <references count="3">
          <reference field="0" count="1" selected="0">
            <x v="474"/>
          </reference>
          <reference field="1" count="1" selected="0">
            <x v="12"/>
          </reference>
          <reference field="3" count="1">
            <x v="10"/>
          </reference>
        </references>
      </pivotArea>
    </format>
    <format dxfId="88">
      <pivotArea dataOnly="0" labelOnly="1" outline="0" fieldPosition="0">
        <references count="3">
          <reference field="0" count="1" selected="0">
            <x v="475"/>
          </reference>
          <reference field="1" count="1" selected="0">
            <x v="14"/>
          </reference>
          <reference field="3" count="1">
            <x v="17"/>
          </reference>
        </references>
      </pivotArea>
    </format>
    <format dxfId="87">
      <pivotArea dataOnly="0" labelOnly="1" outline="0" fieldPosition="0">
        <references count="3">
          <reference field="0" count="1" selected="0">
            <x v="476"/>
          </reference>
          <reference field="1" count="1" selected="0">
            <x v="27"/>
          </reference>
          <reference field="3" count="1">
            <x v="83"/>
          </reference>
        </references>
      </pivotArea>
    </format>
    <format dxfId="86">
      <pivotArea dataOnly="0" labelOnly="1" outline="0" fieldPosition="0">
        <references count="3">
          <reference field="0" count="1" selected="0">
            <x v="477"/>
          </reference>
          <reference field="1" count="1" selected="0">
            <x v="5"/>
          </reference>
          <reference field="3" count="1">
            <x v="48"/>
          </reference>
        </references>
      </pivotArea>
    </format>
    <format dxfId="85">
      <pivotArea dataOnly="0" labelOnly="1" outline="0" fieldPosition="0">
        <references count="3">
          <reference field="0" count="1" selected="0">
            <x v="478"/>
          </reference>
          <reference field="1" count="1" selected="0">
            <x v="10"/>
          </reference>
          <reference field="3" count="1">
            <x v="41"/>
          </reference>
        </references>
      </pivotArea>
    </format>
    <format dxfId="84">
      <pivotArea dataOnly="0" labelOnly="1" outline="0" fieldPosition="0">
        <references count="3">
          <reference field="0" count="1" selected="0">
            <x v="479"/>
          </reference>
          <reference field="1" count="1" selected="0">
            <x v="13"/>
          </reference>
          <reference field="3" count="1">
            <x v="6"/>
          </reference>
        </references>
      </pivotArea>
    </format>
    <format dxfId="83">
      <pivotArea dataOnly="0" labelOnly="1" outline="0" fieldPosition="0">
        <references count="3">
          <reference field="0" count="1" selected="0">
            <x v="480"/>
          </reference>
          <reference field="1" count="1" selected="0">
            <x v="13"/>
          </reference>
          <reference field="3" count="1">
            <x v="63"/>
          </reference>
        </references>
      </pivotArea>
    </format>
    <format dxfId="82">
      <pivotArea dataOnly="0" labelOnly="1" outline="0" fieldPosition="0">
        <references count="3">
          <reference field="0" count="1" selected="0">
            <x v="481"/>
          </reference>
          <reference field="1" count="1" selected="0">
            <x v="15"/>
          </reference>
          <reference field="3" count="1">
            <x v="92"/>
          </reference>
        </references>
      </pivotArea>
    </format>
    <format dxfId="81">
      <pivotArea dataOnly="0" labelOnly="1" outline="0" fieldPosition="0">
        <references count="3">
          <reference field="0" count="1" selected="0">
            <x v="482"/>
          </reference>
          <reference field="1" count="1" selected="0">
            <x v="0"/>
          </reference>
          <reference field="3" count="1">
            <x v="50"/>
          </reference>
        </references>
      </pivotArea>
    </format>
    <format dxfId="80">
      <pivotArea dataOnly="0" labelOnly="1" outline="0" fieldPosition="0">
        <references count="3">
          <reference field="0" count="1" selected="0">
            <x v="483"/>
          </reference>
          <reference field="1" count="1" selected="0">
            <x v="5"/>
          </reference>
          <reference field="3" count="1">
            <x v="27"/>
          </reference>
        </references>
      </pivotArea>
    </format>
    <format dxfId="79">
      <pivotArea dataOnly="0" labelOnly="1" outline="0" fieldPosition="0">
        <references count="3">
          <reference field="0" count="1" selected="0">
            <x v="484"/>
          </reference>
          <reference field="1" count="1" selected="0">
            <x v="22"/>
          </reference>
          <reference field="3" count="1">
            <x v="49"/>
          </reference>
        </references>
      </pivotArea>
    </format>
    <format dxfId="78">
      <pivotArea dataOnly="0" labelOnly="1" outline="0" fieldPosition="0">
        <references count="3">
          <reference field="0" count="1" selected="0">
            <x v="485"/>
          </reference>
          <reference field="1" count="1" selected="0">
            <x v="28"/>
          </reference>
          <reference field="3" count="1">
            <x v="66"/>
          </reference>
        </references>
      </pivotArea>
    </format>
    <format dxfId="77">
      <pivotArea dataOnly="0" labelOnly="1" outline="0" fieldPosition="0">
        <references count="3">
          <reference field="0" count="1" selected="0">
            <x v="486"/>
          </reference>
          <reference field="1" count="1" selected="0">
            <x v="13"/>
          </reference>
          <reference field="3" count="1">
            <x v="64"/>
          </reference>
        </references>
      </pivotArea>
    </format>
    <format dxfId="76">
      <pivotArea dataOnly="0" labelOnly="1" outline="0" fieldPosition="0">
        <references count="3">
          <reference field="0" count="1" selected="0">
            <x v="487"/>
          </reference>
          <reference field="1" count="1" selected="0">
            <x v="8"/>
          </reference>
          <reference field="3" count="1">
            <x v="93"/>
          </reference>
        </references>
      </pivotArea>
    </format>
    <format dxfId="75">
      <pivotArea dataOnly="0" labelOnly="1" outline="0" fieldPosition="0">
        <references count="3">
          <reference field="0" count="1" selected="0">
            <x v="488"/>
          </reference>
          <reference field="1" count="1" selected="0">
            <x v="5"/>
          </reference>
          <reference field="3" count="1">
            <x v="88"/>
          </reference>
        </references>
      </pivotArea>
    </format>
    <format dxfId="74">
      <pivotArea dataOnly="0" labelOnly="1" outline="0" fieldPosition="0">
        <references count="3">
          <reference field="0" count="1" selected="0">
            <x v="489"/>
          </reference>
          <reference field="1" count="1" selected="0">
            <x v="12"/>
          </reference>
          <reference field="3" count="1">
            <x v="16"/>
          </reference>
        </references>
      </pivotArea>
    </format>
    <format dxfId="73">
      <pivotArea dataOnly="0" labelOnly="1" outline="0" fieldPosition="0">
        <references count="3">
          <reference field="0" count="1" selected="0">
            <x v="490"/>
          </reference>
          <reference field="1" count="1" selected="0">
            <x v="5"/>
          </reference>
          <reference field="3" count="1">
            <x v="84"/>
          </reference>
        </references>
      </pivotArea>
    </format>
    <format dxfId="72">
      <pivotArea dataOnly="0" labelOnly="1" outline="0" fieldPosition="0">
        <references count="3">
          <reference field="0" count="1" selected="0">
            <x v="491"/>
          </reference>
          <reference field="1" count="1" selected="0">
            <x v="7"/>
          </reference>
          <reference field="3" count="1">
            <x v="20"/>
          </reference>
        </references>
      </pivotArea>
    </format>
    <format dxfId="71">
      <pivotArea dataOnly="0" labelOnly="1" outline="0" fieldPosition="0">
        <references count="3">
          <reference field="0" count="1" selected="0">
            <x v="492"/>
          </reference>
          <reference field="1" count="1" selected="0">
            <x v="17"/>
          </reference>
          <reference field="3" count="1">
            <x v="86"/>
          </reference>
        </references>
      </pivotArea>
    </format>
    <format dxfId="70">
      <pivotArea dataOnly="0" labelOnly="1" outline="0" fieldPosition="0">
        <references count="3">
          <reference field="0" count="1" selected="0">
            <x v="493"/>
          </reference>
          <reference field="1" count="1" selected="0">
            <x v="27"/>
          </reference>
          <reference field="3" count="1">
            <x v="31"/>
          </reference>
        </references>
      </pivotArea>
    </format>
    <format dxfId="69">
      <pivotArea dataOnly="0" labelOnly="1" outline="0" fieldPosition="0">
        <references count="3">
          <reference field="0" count="1" selected="0">
            <x v="494"/>
          </reference>
          <reference field="1" count="1" selected="0">
            <x v="11"/>
          </reference>
          <reference field="3" count="1">
            <x v="79"/>
          </reference>
        </references>
      </pivotArea>
    </format>
    <format dxfId="68">
      <pivotArea dataOnly="0" labelOnly="1" outline="0" fieldPosition="0">
        <references count="3">
          <reference field="0" count="1" selected="0">
            <x v="495"/>
          </reference>
          <reference field="1" count="1" selected="0">
            <x v="28"/>
          </reference>
          <reference field="3" count="1">
            <x v="35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496"/>
          </reference>
          <reference field="1" count="1" selected="0">
            <x v="30"/>
          </reference>
          <reference field="3" count="1">
            <x v="53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497"/>
          </reference>
          <reference field="1" count="1" selected="0">
            <x v="12"/>
          </reference>
          <reference field="3" count="1">
            <x v="47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498"/>
          </reference>
          <reference field="1" count="1" selected="0">
            <x v="20"/>
          </reference>
          <reference field="3" count="1">
            <x v="60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499"/>
          </reference>
          <reference field="1" count="1" selected="0">
            <x v="18"/>
          </reference>
          <reference field="3" count="1">
            <x v="24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500"/>
          </reference>
          <reference field="1" count="1" selected="0">
            <x v="6"/>
          </reference>
          <reference field="3" count="1">
            <x v="4"/>
          </reference>
        </references>
      </pivotArea>
    </format>
    <format dxfId="62">
      <pivotArea dataOnly="0" labelOnly="1" outline="0" fieldPosition="0">
        <references count="3">
          <reference field="0" count="1" selected="0">
            <x v="501"/>
          </reference>
          <reference field="1" count="1" selected="0">
            <x v="25"/>
          </reference>
          <reference field="3" count="1">
            <x v="74"/>
          </reference>
        </references>
      </pivotArea>
    </format>
    <format dxfId="61">
      <pivotArea dataOnly="0" labelOnly="1" outline="0" fieldPosition="0">
        <references count="3">
          <reference field="0" count="1" selected="0">
            <x v="502"/>
          </reference>
          <reference field="1" count="1" selected="0">
            <x v="26"/>
          </reference>
          <reference field="3" count="1">
            <x v="13"/>
          </reference>
        </references>
      </pivotArea>
    </format>
    <format dxfId="60">
      <pivotArea dataOnly="0" labelOnly="1" outline="0" fieldPosition="0">
        <references count="3">
          <reference field="0" count="1" selected="0">
            <x v="503"/>
          </reference>
          <reference field="1" count="1" selected="0">
            <x v="12"/>
          </reference>
          <reference field="3" count="1">
            <x v="77"/>
          </reference>
        </references>
      </pivotArea>
    </format>
    <format dxfId="59">
      <pivotArea dataOnly="0" labelOnly="1" outline="0" fieldPosition="0">
        <references count="3">
          <reference field="0" count="1" selected="0">
            <x v="504"/>
          </reference>
          <reference field="1" count="1" selected="0">
            <x v="7"/>
          </reference>
          <reference field="3" count="1">
            <x v="42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505"/>
          </reference>
          <reference field="1" count="1" selected="0">
            <x v="21"/>
          </reference>
          <reference field="3" count="1">
            <x v="2"/>
          </reference>
        </references>
      </pivotArea>
    </format>
    <format dxfId="57">
      <pivotArea dataOnly="0" labelOnly="1" outline="0" fieldPosition="0">
        <references count="3">
          <reference field="0" count="1" selected="0">
            <x v="506"/>
          </reference>
          <reference field="1" count="1" selected="0">
            <x v="2"/>
          </reference>
          <reference field="3" count="1">
            <x v="71"/>
          </reference>
        </references>
      </pivotArea>
    </format>
    <format dxfId="56">
      <pivotArea dataOnly="0" labelOnly="1" outline="0" fieldPosition="0">
        <references count="3">
          <reference field="0" count="1" selected="0">
            <x v="507"/>
          </reference>
          <reference field="1" count="1" selected="0">
            <x v="12"/>
          </reference>
          <reference field="3" count="1">
            <x v="70"/>
          </reference>
        </references>
      </pivotArea>
    </format>
    <format dxfId="55">
      <pivotArea dataOnly="0" labelOnly="1" outline="0" fieldPosition="0">
        <references count="3">
          <reference field="0" count="1" selected="0">
            <x v="508"/>
          </reference>
          <reference field="1" count="1" selected="0">
            <x v="4"/>
          </reference>
          <reference field="3" count="1">
            <x v="32"/>
          </reference>
        </references>
      </pivotArea>
    </format>
    <format dxfId="54">
      <pivotArea dataOnly="0" labelOnly="1" outline="0" fieldPosition="0">
        <references count="3">
          <reference field="0" count="1" selected="0">
            <x v="509"/>
          </reference>
          <reference field="1" count="1" selected="0">
            <x v="20"/>
          </reference>
          <reference field="3" count="1">
            <x v="90"/>
          </reference>
        </references>
      </pivotArea>
    </format>
    <format dxfId="53">
      <pivotArea dataOnly="0" labelOnly="1" outline="0" fieldPosition="0">
        <references count="3">
          <reference field="0" count="1" selected="0">
            <x v="510"/>
          </reference>
          <reference field="1" count="1" selected="0">
            <x v="0"/>
          </reference>
          <reference field="3" count="1">
            <x v="54"/>
          </reference>
        </references>
      </pivotArea>
    </format>
    <format dxfId="52">
      <pivotArea dataOnly="0" labelOnly="1" outline="0" fieldPosition="0">
        <references count="3">
          <reference field="0" count="1" selected="0">
            <x v="511"/>
          </reference>
          <reference field="1" count="1" selected="0">
            <x v="29"/>
          </reference>
          <reference field="3" count="1">
            <x v="19"/>
          </reference>
        </references>
      </pivotArea>
    </format>
    <format dxfId="51">
      <pivotArea dataOnly="0" labelOnly="1" outline="0" fieldPosition="0">
        <references count="3">
          <reference field="0" count="1" selected="0">
            <x v="512"/>
          </reference>
          <reference field="1" count="1" selected="0">
            <x v="8"/>
          </reference>
          <reference field="3" count="1">
            <x v="33"/>
          </reference>
        </references>
      </pivotArea>
    </format>
    <format dxfId="50">
      <pivotArea dataOnly="0" labelOnly="1" outline="0" fieldPosition="0">
        <references count="3">
          <reference field="0" count="1" selected="0">
            <x v="513"/>
          </reference>
          <reference field="1" count="1" selected="0">
            <x v="17"/>
          </reference>
          <reference field="3" count="1">
            <x v="99"/>
          </reference>
        </references>
      </pivotArea>
    </format>
    <format dxfId="49">
      <pivotArea dataOnly="0" labelOnly="1" outline="0" fieldPosition="0">
        <references count="3">
          <reference field="0" count="1" selected="0">
            <x v="514"/>
          </reference>
          <reference field="1" count="1" selected="0">
            <x v="23"/>
          </reference>
          <reference field="3" count="1">
            <x v="34"/>
          </reference>
        </references>
      </pivotArea>
    </format>
    <format dxfId="48">
      <pivotArea dataOnly="0" labelOnly="1" outline="0" fieldPosition="0">
        <references count="3">
          <reference field="0" count="1" selected="0">
            <x v="515"/>
          </reference>
          <reference field="1" count="1" selected="0">
            <x v="7"/>
          </reference>
          <reference field="3" count="1">
            <x v="72"/>
          </reference>
        </references>
      </pivotArea>
    </format>
    <format dxfId="47">
      <pivotArea dataOnly="0" labelOnly="1" outline="0" fieldPosition="0">
        <references count="3">
          <reference field="0" count="1" selected="0">
            <x v="516"/>
          </reference>
          <reference field="1" count="1" selected="0">
            <x v="11"/>
          </reference>
          <reference field="3" count="1">
            <x v="96"/>
          </reference>
        </references>
      </pivotArea>
    </format>
    <format dxfId="46">
      <pivotArea dataOnly="0" labelOnly="1" outline="0" fieldPosition="0">
        <references count="3">
          <reference field="0" count="1" selected="0">
            <x v="517"/>
          </reference>
          <reference field="1" count="1" selected="0">
            <x v="2"/>
          </reference>
          <reference field="3" count="1">
            <x v="58"/>
          </reference>
        </references>
      </pivotArea>
    </format>
    <format dxfId="45">
      <pivotArea dataOnly="0" labelOnly="1" outline="0" fieldPosition="0">
        <references count="3">
          <reference field="0" count="1" selected="0">
            <x v="518"/>
          </reference>
          <reference field="1" count="1" selected="0">
            <x v="5"/>
          </reference>
          <reference field="3" count="1">
            <x v="75"/>
          </reference>
        </references>
      </pivotArea>
    </format>
    <format dxfId="44">
      <pivotArea dataOnly="0" labelOnly="1" outline="0" fieldPosition="0">
        <references count="3">
          <reference field="0" count="1" selected="0">
            <x v="519"/>
          </reference>
          <reference field="1" count="1" selected="0">
            <x v="23"/>
          </reference>
          <reference field="3" count="1">
            <x v="98"/>
          </reference>
        </references>
      </pivotArea>
    </format>
    <format dxfId="43">
      <pivotArea dataOnly="0" labelOnly="1" outline="0" fieldPosition="0">
        <references count="3">
          <reference field="0" count="1" selected="0">
            <x v="520"/>
          </reference>
          <reference field="1" count="1" selected="0">
            <x v="8"/>
          </reference>
          <reference field="3" count="1">
            <x v="0"/>
          </reference>
        </references>
      </pivotArea>
    </format>
    <format dxfId="42">
      <pivotArea dataOnly="0" labelOnly="1" outline="0" fieldPosition="0">
        <references count="3">
          <reference field="0" count="1" selected="0">
            <x v="521"/>
          </reference>
          <reference field="1" count="1" selected="0">
            <x v="10"/>
          </reference>
          <reference field="3" count="1">
            <x v="5"/>
          </reference>
        </references>
      </pivotArea>
    </format>
    <format dxfId="41">
      <pivotArea dataOnly="0" labelOnly="1" outline="0" fieldPosition="0">
        <references count="3">
          <reference field="0" count="1" selected="0">
            <x v="522"/>
          </reference>
          <reference field="1" count="1" selected="0">
            <x v="13"/>
          </reference>
          <reference field="3" count="1">
            <x v="46"/>
          </reference>
        </references>
      </pivotArea>
    </format>
    <format dxfId="40">
      <pivotArea dataOnly="0" labelOnly="1" outline="0" fieldPosition="0">
        <references count="3">
          <reference field="0" count="1" selected="0">
            <x v="523"/>
          </reference>
          <reference field="1" count="1" selected="0">
            <x v="2"/>
          </reference>
          <reference field="3" count="1">
            <x v="85"/>
          </reference>
        </references>
      </pivotArea>
    </format>
    <format dxfId="39">
      <pivotArea dataOnly="0" labelOnly="1" outline="0" fieldPosition="0">
        <references count="3">
          <reference field="0" count="1" selected="0">
            <x v="524"/>
          </reference>
          <reference field="1" count="1" selected="0">
            <x v="17"/>
          </reference>
          <reference field="3" count="1">
            <x v="10"/>
          </reference>
        </references>
      </pivotArea>
    </format>
    <format dxfId="38">
      <pivotArea dataOnly="0" labelOnly="1" outline="0" fieldPosition="0">
        <references count="3">
          <reference field="0" count="1" selected="0">
            <x v="525"/>
          </reference>
          <reference field="1" count="1" selected="0">
            <x v="12"/>
          </reference>
          <reference field="3" count="1">
            <x v="17"/>
          </reference>
        </references>
      </pivotArea>
    </format>
    <format dxfId="37">
      <pivotArea dataOnly="0" labelOnly="1" outline="0" fieldPosition="0">
        <references count="3">
          <reference field="0" count="1" selected="0">
            <x v="526"/>
          </reference>
          <reference field="1" count="1" selected="0">
            <x v="28"/>
          </reference>
          <reference field="3" count="1">
            <x v="83"/>
          </reference>
        </references>
      </pivotArea>
    </format>
    <format dxfId="36">
      <pivotArea dataOnly="0" labelOnly="1" outline="0" fieldPosition="0">
        <references count="3">
          <reference field="0" count="1" selected="0">
            <x v="527"/>
          </reference>
          <reference field="1" count="1" selected="0">
            <x v="20"/>
          </reference>
          <reference field="3" count="1">
            <x v="48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528"/>
          </reference>
          <reference field="1" count="1" selected="0">
            <x v="26"/>
          </reference>
          <reference field="3" count="1">
            <x v="41"/>
          </reference>
        </references>
      </pivotArea>
    </format>
    <format dxfId="34">
      <pivotArea dataOnly="0" labelOnly="1" outline="0" fieldPosition="0">
        <references count="3">
          <reference field="0" count="1" selected="0">
            <x v="529"/>
          </reference>
          <reference field="1" count="1" selected="0">
            <x v="18"/>
          </reference>
          <reference field="3" count="1">
            <x v="6"/>
          </reference>
        </references>
      </pivotArea>
    </format>
    <format dxfId="33">
      <pivotArea dataOnly="0" labelOnly="1" outline="0" fieldPosition="0">
        <references count="3">
          <reference field="0" count="1" selected="0">
            <x v="530"/>
          </reference>
          <reference field="1" count="1" selected="0">
            <x v="11"/>
          </reference>
          <reference field="3" count="1">
            <x v="63"/>
          </reference>
        </references>
      </pivotArea>
    </format>
    <format dxfId="32">
      <pivotArea dataOnly="0" labelOnly="1" outline="0" fieldPosition="0">
        <references count="3">
          <reference field="0" count="1" selected="0">
            <x v="531"/>
          </reference>
          <reference field="1" count="1" selected="0">
            <x v="29"/>
          </reference>
          <reference field="3" count="1">
            <x v="92"/>
          </reference>
        </references>
      </pivotArea>
    </format>
    <format dxfId="31">
      <pivotArea dataOnly="0" labelOnly="1" outline="0" fieldPosition="0">
        <references count="3">
          <reference field="0" count="1" selected="0">
            <x v="532"/>
          </reference>
          <reference field="1" count="1" selected="0">
            <x v="7"/>
          </reference>
          <reference field="3" count="1">
            <x v="50"/>
          </reference>
        </references>
      </pivotArea>
    </format>
    <format dxfId="30">
      <pivotArea dataOnly="0" labelOnly="1" outline="0" fieldPosition="0">
        <references count="3">
          <reference field="0" count="1" selected="0">
            <x v="533"/>
          </reference>
          <reference field="1" count="1" selected="0">
            <x v="9"/>
          </reference>
          <reference field="3" count="1">
            <x v="27"/>
          </reference>
        </references>
      </pivotArea>
    </format>
    <format dxfId="29">
      <pivotArea dataOnly="0" labelOnly="1" outline="0" fieldPosition="0">
        <references count="3">
          <reference field="0" count="1" selected="0">
            <x v="534"/>
          </reference>
          <reference field="1" count="1" selected="0">
            <x v="7"/>
          </reference>
          <reference field="3" count="1">
            <x v="49"/>
          </reference>
        </references>
      </pivotArea>
    </format>
    <format dxfId="28">
      <pivotArea dataOnly="0" labelOnly="1" outline="0" fieldPosition="0">
        <references count="3">
          <reference field="0" count="1" selected="0">
            <x v="535"/>
          </reference>
          <reference field="1" count="1" selected="0">
            <x v="5"/>
          </reference>
          <reference field="3" count="1">
            <x v="66"/>
          </reference>
        </references>
      </pivotArea>
    </format>
    <format dxfId="27">
      <pivotArea dataOnly="0" labelOnly="1" outline="0" fieldPosition="0">
        <references count="3">
          <reference field="0" count="1" selected="0">
            <x v="536"/>
          </reference>
          <reference field="1" count="1" selected="0">
            <x v="14"/>
          </reference>
          <reference field="3" count="1">
            <x v="64"/>
          </reference>
        </references>
      </pivotArea>
    </format>
    <format dxfId="26">
      <pivotArea dataOnly="0" labelOnly="1" outline="0" fieldPosition="0">
        <references count="3">
          <reference field="0" count="1" selected="0">
            <x v="537"/>
          </reference>
          <reference field="1" count="1" selected="0">
            <x v="30"/>
          </reference>
          <reference field="3" count="1">
            <x v="93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538"/>
          </reference>
          <reference field="1" count="1" selected="0">
            <x v="16"/>
          </reference>
          <reference field="3" count="1">
            <x v="88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539"/>
          </reference>
          <reference field="1" count="1" selected="0">
            <x v="11"/>
          </reference>
          <reference field="3" count="1">
            <x v="16"/>
          </reference>
        </references>
      </pivotArea>
    </format>
    <format dxfId="23">
      <pivotArea dataOnly="0" labelOnly="1" outline="0" fieldPosition="0">
        <references count="3">
          <reference field="0" count="1" selected="0">
            <x v="540"/>
          </reference>
          <reference field="1" count="1" selected="0">
            <x v="22"/>
          </reference>
          <reference field="3" count="1">
            <x v="84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541"/>
          </reference>
          <reference field="1" count="1" selected="0">
            <x v="27"/>
          </reference>
          <reference field="3" count="1">
            <x v="20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542"/>
          </reference>
          <reference field="1" count="1" selected="0">
            <x v="6"/>
          </reference>
          <reference field="3" count="1">
            <x v="86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543"/>
          </reference>
          <reference field="1" count="1" selected="0">
            <x v="16"/>
          </reference>
          <reference field="3" count="1">
            <x v="31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544"/>
          </reference>
          <reference field="1" count="1" selected="0">
            <x v="11"/>
          </reference>
          <reference field="3" count="1">
            <x v="79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545"/>
          </reference>
          <reference field="1" count="1" selected="0">
            <x v="24"/>
          </reference>
          <reference field="3" count="1">
            <x v="35"/>
          </reference>
        </references>
      </pivotArea>
    </format>
    <format dxfId="17">
      <pivotArea dataOnly="0" labelOnly="1" outline="0" fieldPosition="0">
        <references count="3">
          <reference field="0" count="1" selected="0">
            <x v="546"/>
          </reference>
          <reference field="1" count="1" selected="0">
            <x v="5"/>
          </reference>
          <reference field="3" count="1">
            <x v="53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547"/>
          </reference>
          <reference field="1" count="1" selected="0">
            <x v="12"/>
          </reference>
          <reference field="3" count="1">
            <x v="47"/>
          </reference>
        </references>
      </pivotArea>
    </format>
    <format dxfId="15">
      <pivotArea dataOnly="0" labelOnly="1" outline="0" fieldPosition="0">
        <references count="3">
          <reference field="0" count="1" selected="0">
            <x v="548"/>
          </reference>
          <reference field="1" count="1" selected="0">
            <x v="24"/>
          </reference>
          <reference field="3" count="1">
            <x v="60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549"/>
          </reference>
          <reference field="1" count="1" selected="0">
            <x v="15"/>
          </reference>
          <reference field="3" count="1">
            <x v="24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550"/>
          </reference>
          <reference field="1" count="1" selected="0">
            <x v="28"/>
          </reference>
          <reference field="3" count="1">
            <x v="4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551"/>
          </reference>
          <reference field="1" count="1" selected="0">
            <x v="20"/>
          </reference>
          <reference field="3" count="1">
            <x v="74"/>
          </reference>
        </references>
      </pivotArea>
    </format>
    <format dxfId="1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Invoices" displayName="Invoices" ref="A1:G139" totalsRowShown="0" headerRowDxfId="10">
  <autoFilter ref="A1:G139"/>
  <tableColumns count="7">
    <tableColumn id="1" name="Invoice ID">
      <calculatedColumnFormula>RANDBETWEEN(111111,999999)</calculatedColumnFormula>
    </tableColumn>
    <tableColumn id="2" name="Date" dataDxfId="9">
      <calculatedColumnFormula>RANDBETWEEN(43466,43496)</calculatedColumnFormula>
    </tableColumn>
    <tableColumn id="3" name="Tech" dataDxfId="8"/>
    <tableColumn id="4" name="Customer Name"/>
    <tableColumn id="5" name="Collected" dataDxfId="7">
      <calculatedColumnFormula>RANDBETWEEN(50,850)</calculatedColumnFormula>
    </tableColumn>
    <tableColumn id="7" name="Fees" dataDxfId="6">
      <calculatedColumnFormula>CHOOSE(RANDBETWEEN(1,5),0,0,0,25,50)</calculatedColumnFormula>
    </tableColumn>
    <tableColumn id="6" name="Commission" dataDxfId="5">
      <calculatedColumnFormula>VLOOKUP(Invoices[[#This Row],[Collected]],CommissionPercentages[#Data],3)*Invoices[[#This Row],[Collected]]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CommissionPercentages" displayName="CommissionPercentages" ref="A1:C4" totalsRowShown="0" headerRowDxfId="4" dataDxfId="3">
  <autoFilter ref="A1:C4"/>
  <tableColumns count="3">
    <tableColumn id="1" name="Collected amount from" dataDxfId="2"/>
    <tableColumn id="2" name="Collected amount to" dataDxfId="1"/>
    <tableColumn id="3" name="Commission 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3"/>
  <sheetViews>
    <sheetView tabSelected="1" workbookViewId="0"/>
  </sheetViews>
  <sheetFormatPr defaultRowHeight="14.4" x14ac:dyDescent="0.3"/>
  <sheetData>
    <row r="1" spans="1:1" x14ac:dyDescent="0.3">
      <c r="A1" t="s">
        <v>122</v>
      </c>
    </row>
    <row r="2" spans="1:1" x14ac:dyDescent="0.3">
      <c r="A2" t="s">
        <v>123</v>
      </c>
    </row>
    <row r="3" spans="1:1" x14ac:dyDescent="0.3">
      <c r="A3" s="12" t="s">
        <v>124</v>
      </c>
    </row>
    <row r="5" spans="1:1" x14ac:dyDescent="0.3">
      <c r="A5" s="7" t="s">
        <v>125</v>
      </c>
    </row>
    <row r="6" spans="1:1" x14ac:dyDescent="0.3">
      <c r="A6" t="s">
        <v>126</v>
      </c>
    </row>
    <row r="7" spans="1:1" x14ac:dyDescent="0.3">
      <c r="A7" t="s">
        <v>127</v>
      </c>
    </row>
    <row r="8" spans="1:1" x14ac:dyDescent="0.3">
      <c r="A8" t="s">
        <v>128</v>
      </c>
    </row>
    <row r="9" spans="1:1" x14ac:dyDescent="0.3">
      <c r="A9" t="s">
        <v>129</v>
      </c>
    </row>
    <row r="10" spans="1:1" x14ac:dyDescent="0.3">
      <c r="A10" t="s">
        <v>132</v>
      </c>
    </row>
    <row r="11" spans="1:1" x14ac:dyDescent="0.3">
      <c r="A11" t="s">
        <v>130</v>
      </c>
    </row>
    <row r="13" spans="1:1" x14ac:dyDescent="0.3">
      <c r="A13" t="s">
        <v>131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3"/>
  <sheetViews>
    <sheetView workbookViewId="0">
      <pane ySplit="4" topLeftCell="A5" activePane="bottomLeft" state="frozen"/>
      <selection pane="bottomLeft" activeCell="A5" sqref="A5"/>
    </sheetView>
  </sheetViews>
  <sheetFormatPr defaultRowHeight="14.4" x14ac:dyDescent="0.3"/>
  <cols>
    <col min="1" max="1" width="13.5546875" style="5" bestFit="1" customWidth="1"/>
    <col min="2" max="2" width="11.77734375" style="5" bestFit="1" customWidth="1"/>
    <col min="3" max="3" width="20.44140625" style="5" bestFit="1" customWidth="1"/>
    <col min="4" max="4" width="10.109375" style="3" customWidth="1"/>
    <col min="5" max="5" width="11.21875" style="3" customWidth="1"/>
    <col min="6" max="6" width="9.109375" style="3" customWidth="1"/>
    <col min="7" max="7" width="16.88671875" style="3" customWidth="1"/>
    <col min="8" max="16384" width="8.88671875" style="5"/>
  </cols>
  <sheetData>
    <row r="1" spans="1:7" x14ac:dyDescent="0.3">
      <c r="A1" s="8" t="s">
        <v>2</v>
      </c>
      <c r="B1" s="5" t="s">
        <v>116</v>
      </c>
    </row>
    <row r="3" spans="1:7" x14ac:dyDescent="0.3">
      <c r="D3" s="9" t="s">
        <v>117</v>
      </c>
    </row>
    <row r="4" spans="1:7" ht="28.8" x14ac:dyDescent="0.3">
      <c r="A4" s="8" t="s">
        <v>0</v>
      </c>
      <c r="B4" s="8" t="s">
        <v>1</v>
      </c>
      <c r="C4" s="8" t="s">
        <v>3</v>
      </c>
      <c r="D4" s="3" t="s">
        <v>118</v>
      </c>
      <c r="E4" s="3" t="s">
        <v>119</v>
      </c>
      <c r="F4" s="3" t="s">
        <v>120</v>
      </c>
      <c r="G4" s="3" t="s">
        <v>121</v>
      </c>
    </row>
    <row r="5" spans="1:7" x14ac:dyDescent="0.3">
      <c r="A5" s="5">
        <v>916485</v>
      </c>
      <c r="B5" s="10">
        <v>43471</v>
      </c>
      <c r="C5" s="5" t="s">
        <v>8</v>
      </c>
      <c r="D5" s="11">
        <v>553</v>
      </c>
      <c r="E5" s="11">
        <v>71.89</v>
      </c>
      <c r="F5" s="11">
        <v>0</v>
      </c>
      <c r="G5" s="11">
        <v>71.89</v>
      </c>
    </row>
    <row r="6" spans="1:7" x14ac:dyDescent="0.3">
      <c r="A6" s="5">
        <v>488664</v>
      </c>
      <c r="B6" s="10">
        <v>43468</v>
      </c>
      <c r="C6" s="5" t="s">
        <v>10</v>
      </c>
      <c r="D6" s="11">
        <v>275</v>
      </c>
      <c r="E6" s="11">
        <v>22</v>
      </c>
      <c r="F6" s="11">
        <v>0</v>
      </c>
      <c r="G6" s="11">
        <v>22</v>
      </c>
    </row>
    <row r="7" spans="1:7" x14ac:dyDescent="0.3">
      <c r="A7" s="5">
        <v>709072</v>
      </c>
      <c r="B7" s="10">
        <v>43492</v>
      </c>
      <c r="C7" s="5" t="s">
        <v>12</v>
      </c>
      <c r="D7" s="11">
        <v>185</v>
      </c>
      <c r="E7" s="11">
        <v>9.25</v>
      </c>
      <c r="F7" s="11">
        <v>0</v>
      </c>
      <c r="G7" s="11">
        <v>9.25</v>
      </c>
    </row>
    <row r="8" spans="1:7" x14ac:dyDescent="0.3">
      <c r="A8" s="5">
        <v>757274</v>
      </c>
      <c r="B8" s="10">
        <v>43496</v>
      </c>
      <c r="C8" s="5" t="s">
        <v>14</v>
      </c>
      <c r="D8" s="11">
        <v>794</v>
      </c>
      <c r="E8" s="11">
        <v>103.22</v>
      </c>
      <c r="F8" s="11">
        <v>0</v>
      </c>
      <c r="G8" s="11">
        <v>103.22</v>
      </c>
    </row>
    <row r="9" spans="1:7" x14ac:dyDescent="0.3">
      <c r="A9" s="5">
        <v>513493</v>
      </c>
      <c r="B9" s="10">
        <v>43480</v>
      </c>
      <c r="C9" s="5" t="s">
        <v>16</v>
      </c>
      <c r="D9" s="11">
        <v>249</v>
      </c>
      <c r="E9" s="11">
        <v>19.920000000000002</v>
      </c>
      <c r="F9" s="11">
        <v>0</v>
      </c>
      <c r="G9" s="11">
        <v>19.920000000000002</v>
      </c>
    </row>
    <row r="10" spans="1:7" x14ac:dyDescent="0.3">
      <c r="A10" s="5">
        <v>399615</v>
      </c>
      <c r="B10" s="10">
        <v>43495</v>
      </c>
      <c r="C10" s="5" t="s">
        <v>17</v>
      </c>
      <c r="D10" s="11">
        <v>62</v>
      </c>
      <c r="E10" s="11">
        <v>3.1</v>
      </c>
      <c r="F10" s="11">
        <v>0</v>
      </c>
      <c r="G10" s="11">
        <v>3.1</v>
      </c>
    </row>
    <row r="11" spans="1:7" x14ac:dyDescent="0.3">
      <c r="A11" s="5">
        <v>732720</v>
      </c>
      <c r="B11" s="10">
        <v>43466</v>
      </c>
      <c r="C11" s="5" t="s">
        <v>18</v>
      </c>
      <c r="D11" s="11">
        <v>118</v>
      </c>
      <c r="E11" s="11">
        <v>5.9</v>
      </c>
      <c r="F11" s="11">
        <v>25</v>
      </c>
      <c r="G11" s="11">
        <v>30.9</v>
      </c>
    </row>
    <row r="12" spans="1:7" x14ac:dyDescent="0.3">
      <c r="A12" s="5">
        <v>887942</v>
      </c>
      <c r="B12" s="10">
        <v>43487</v>
      </c>
      <c r="C12" s="5" t="s">
        <v>19</v>
      </c>
      <c r="D12" s="11">
        <v>650</v>
      </c>
      <c r="E12" s="11">
        <v>84.5</v>
      </c>
      <c r="F12" s="11">
        <v>0</v>
      </c>
      <c r="G12" s="11">
        <v>84.5</v>
      </c>
    </row>
    <row r="13" spans="1:7" x14ac:dyDescent="0.3">
      <c r="A13" s="5">
        <v>800258</v>
      </c>
      <c r="B13" s="10">
        <v>43472</v>
      </c>
      <c r="C13" s="5" t="s">
        <v>20</v>
      </c>
      <c r="D13" s="11">
        <v>641</v>
      </c>
      <c r="E13" s="11">
        <v>83.33</v>
      </c>
      <c r="F13" s="11">
        <v>0</v>
      </c>
      <c r="G13" s="11">
        <v>83.33</v>
      </c>
    </row>
    <row r="14" spans="1:7" x14ac:dyDescent="0.3">
      <c r="A14" s="5">
        <v>803288</v>
      </c>
      <c r="B14" s="10">
        <v>43470</v>
      </c>
      <c r="C14" s="5" t="s">
        <v>21</v>
      </c>
      <c r="D14" s="11">
        <v>840</v>
      </c>
      <c r="E14" s="11">
        <v>109.2</v>
      </c>
      <c r="F14" s="11">
        <v>0</v>
      </c>
      <c r="G14" s="11">
        <v>109.2</v>
      </c>
    </row>
    <row r="15" spans="1:7" x14ac:dyDescent="0.3">
      <c r="A15" s="5">
        <v>561029</v>
      </c>
      <c r="B15" s="10">
        <v>43487</v>
      </c>
      <c r="C15" s="5" t="s">
        <v>22</v>
      </c>
      <c r="D15" s="11">
        <v>257</v>
      </c>
      <c r="E15" s="11">
        <v>20.56</v>
      </c>
      <c r="F15" s="11">
        <v>0</v>
      </c>
      <c r="G15" s="11">
        <v>20.56</v>
      </c>
    </row>
    <row r="16" spans="1:7" x14ac:dyDescent="0.3">
      <c r="A16" s="5">
        <v>309669</v>
      </c>
      <c r="B16" s="10">
        <v>43482</v>
      </c>
      <c r="C16" s="5" t="s">
        <v>23</v>
      </c>
      <c r="D16" s="11">
        <v>318</v>
      </c>
      <c r="E16" s="11">
        <v>25.44</v>
      </c>
      <c r="F16" s="11">
        <v>25</v>
      </c>
      <c r="G16" s="11">
        <v>50.44</v>
      </c>
    </row>
    <row r="17" spans="1:7" x14ac:dyDescent="0.3">
      <c r="A17" s="5">
        <v>277649</v>
      </c>
      <c r="B17" s="10">
        <v>43491</v>
      </c>
      <c r="C17" s="5" t="s">
        <v>24</v>
      </c>
      <c r="D17" s="11">
        <v>533</v>
      </c>
      <c r="E17" s="11">
        <v>69.290000000000006</v>
      </c>
      <c r="F17" s="11">
        <v>25</v>
      </c>
      <c r="G17" s="11">
        <v>94.29</v>
      </c>
    </row>
    <row r="18" spans="1:7" x14ac:dyDescent="0.3">
      <c r="A18" s="5">
        <v>518430</v>
      </c>
      <c r="B18" s="10">
        <v>43474</v>
      </c>
      <c r="C18" s="5" t="s">
        <v>25</v>
      </c>
      <c r="D18" s="11">
        <v>300</v>
      </c>
      <c r="E18" s="11">
        <v>24</v>
      </c>
      <c r="F18" s="11">
        <v>50</v>
      </c>
      <c r="G18" s="11">
        <v>74</v>
      </c>
    </row>
    <row r="19" spans="1:7" x14ac:dyDescent="0.3">
      <c r="A19" s="5">
        <v>676802</v>
      </c>
      <c r="B19" s="10">
        <v>43466</v>
      </c>
      <c r="C19" s="5" t="s">
        <v>26</v>
      </c>
      <c r="D19" s="11">
        <v>763</v>
      </c>
      <c r="E19" s="11">
        <v>99.19</v>
      </c>
      <c r="F19" s="11">
        <v>0</v>
      </c>
      <c r="G19" s="11">
        <v>99.19</v>
      </c>
    </row>
    <row r="20" spans="1:7" x14ac:dyDescent="0.3">
      <c r="A20" s="5">
        <v>754858</v>
      </c>
      <c r="B20" s="10">
        <v>43488</v>
      </c>
      <c r="C20" s="5" t="s">
        <v>27</v>
      </c>
      <c r="D20" s="11">
        <v>812</v>
      </c>
      <c r="E20" s="11">
        <v>105.56</v>
      </c>
      <c r="F20" s="11">
        <v>0</v>
      </c>
      <c r="G20" s="11">
        <v>105.56</v>
      </c>
    </row>
    <row r="21" spans="1:7" x14ac:dyDescent="0.3">
      <c r="A21" s="5">
        <v>899697</v>
      </c>
      <c r="B21" s="10">
        <v>43466</v>
      </c>
      <c r="C21" s="5" t="s">
        <v>28</v>
      </c>
      <c r="D21" s="11">
        <v>62</v>
      </c>
      <c r="E21" s="11">
        <v>3.1</v>
      </c>
      <c r="F21" s="11">
        <v>0</v>
      </c>
      <c r="G21" s="11">
        <v>3.1</v>
      </c>
    </row>
    <row r="22" spans="1:7" x14ac:dyDescent="0.3">
      <c r="A22" s="5">
        <v>319957</v>
      </c>
      <c r="B22" s="10">
        <v>43489</v>
      </c>
      <c r="C22" s="5" t="s">
        <v>29</v>
      </c>
      <c r="D22" s="11">
        <v>574</v>
      </c>
      <c r="E22" s="11">
        <v>74.62</v>
      </c>
      <c r="F22" s="11">
        <v>0</v>
      </c>
      <c r="G22" s="11">
        <v>74.62</v>
      </c>
    </row>
    <row r="23" spans="1:7" x14ac:dyDescent="0.3">
      <c r="A23" s="5">
        <v>714648</v>
      </c>
      <c r="B23" s="10">
        <v>43483</v>
      </c>
      <c r="C23" s="5" t="s">
        <v>30</v>
      </c>
      <c r="D23" s="11">
        <v>839</v>
      </c>
      <c r="E23" s="11">
        <v>109.07000000000001</v>
      </c>
      <c r="F23" s="11">
        <v>25</v>
      </c>
      <c r="G23" s="11">
        <v>134.07</v>
      </c>
    </row>
    <row r="24" spans="1:7" x14ac:dyDescent="0.3">
      <c r="A24" s="5">
        <v>999571</v>
      </c>
      <c r="B24" s="10">
        <v>43496</v>
      </c>
      <c r="C24" s="5" t="s">
        <v>31</v>
      </c>
      <c r="D24" s="11">
        <v>454</v>
      </c>
      <c r="E24" s="11">
        <v>59.02</v>
      </c>
      <c r="F24" s="11">
        <v>0</v>
      </c>
      <c r="G24" s="11">
        <v>59.02</v>
      </c>
    </row>
    <row r="25" spans="1:7" x14ac:dyDescent="0.3">
      <c r="A25" s="5">
        <v>990307</v>
      </c>
      <c r="B25" s="10">
        <v>43475</v>
      </c>
      <c r="C25" s="5" t="s">
        <v>32</v>
      </c>
      <c r="D25" s="11">
        <v>192</v>
      </c>
      <c r="E25" s="11">
        <v>9.6000000000000014</v>
      </c>
      <c r="F25" s="11">
        <v>25</v>
      </c>
      <c r="G25" s="11">
        <v>34.6</v>
      </c>
    </row>
    <row r="26" spans="1:7" x14ac:dyDescent="0.3">
      <c r="A26" s="5">
        <v>754256</v>
      </c>
      <c r="B26" s="10">
        <v>43489</v>
      </c>
      <c r="C26" s="5" t="s">
        <v>33</v>
      </c>
      <c r="D26" s="11">
        <v>364</v>
      </c>
      <c r="E26" s="11">
        <v>29.12</v>
      </c>
      <c r="F26" s="11">
        <v>0</v>
      </c>
      <c r="G26" s="11">
        <v>29.12</v>
      </c>
    </row>
    <row r="27" spans="1:7" x14ac:dyDescent="0.3">
      <c r="A27" s="5">
        <v>136371</v>
      </c>
      <c r="B27" s="10">
        <v>43470</v>
      </c>
      <c r="C27" s="5" t="s">
        <v>34</v>
      </c>
      <c r="D27" s="11">
        <v>628</v>
      </c>
      <c r="E27" s="11">
        <v>81.64</v>
      </c>
      <c r="F27" s="11">
        <v>25</v>
      </c>
      <c r="G27" s="11">
        <v>106.64</v>
      </c>
    </row>
    <row r="28" spans="1:7" x14ac:dyDescent="0.3">
      <c r="A28" s="5">
        <v>567361</v>
      </c>
      <c r="B28" s="10">
        <v>43495</v>
      </c>
      <c r="C28" s="5" t="s">
        <v>35</v>
      </c>
      <c r="D28" s="11">
        <v>401</v>
      </c>
      <c r="E28" s="11">
        <v>52.13</v>
      </c>
      <c r="F28" s="11">
        <v>25</v>
      </c>
      <c r="G28" s="11">
        <v>77.13</v>
      </c>
    </row>
    <row r="29" spans="1:7" x14ac:dyDescent="0.3">
      <c r="A29" s="5">
        <v>760179</v>
      </c>
      <c r="B29" s="10">
        <v>43476</v>
      </c>
      <c r="C29" s="5" t="s">
        <v>36</v>
      </c>
      <c r="D29" s="11">
        <v>164</v>
      </c>
      <c r="E29" s="11">
        <v>8.2000000000000011</v>
      </c>
      <c r="F29" s="11">
        <v>0</v>
      </c>
      <c r="G29" s="11">
        <v>8.2000000000000011</v>
      </c>
    </row>
    <row r="30" spans="1:7" x14ac:dyDescent="0.3">
      <c r="A30" s="5">
        <v>176765</v>
      </c>
      <c r="B30" s="10">
        <v>43490</v>
      </c>
      <c r="C30" s="5" t="s">
        <v>37</v>
      </c>
      <c r="D30" s="11">
        <v>687</v>
      </c>
      <c r="E30" s="11">
        <v>89.31</v>
      </c>
      <c r="F30" s="11">
        <v>50</v>
      </c>
      <c r="G30" s="11">
        <v>139.31</v>
      </c>
    </row>
    <row r="31" spans="1:7" x14ac:dyDescent="0.3">
      <c r="A31" s="5">
        <v>844084</v>
      </c>
      <c r="B31" s="10">
        <v>43488</v>
      </c>
      <c r="C31" s="5" t="s">
        <v>38</v>
      </c>
      <c r="D31" s="11">
        <v>217</v>
      </c>
      <c r="E31" s="11">
        <v>17.36</v>
      </c>
      <c r="F31" s="11">
        <v>0</v>
      </c>
      <c r="G31" s="11">
        <v>17.36</v>
      </c>
    </row>
    <row r="32" spans="1:7" x14ac:dyDescent="0.3">
      <c r="A32" s="5">
        <v>384357</v>
      </c>
      <c r="B32" s="10">
        <v>43466</v>
      </c>
      <c r="C32" s="5" t="s">
        <v>39</v>
      </c>
      <c r="D32" s="11">
        <v>454</v>
      </c>
      <c r="E32" s="11">
        <v>59.02</v>
      </c>
      <c r="F32" s="11">
        <v>0</v>
      </c>
      <c r="G32" s="11">
        <v>59.02</v>
      </c>
    </row>
    <row r="33" spans="1:7" x14ac:dyDescent="0.3">
      <c r="A33" s="5">
        <v>812823</v>
      </c>
      <c r="B33" s="10">
        <v>43496</v>
      </c>
      <c r="C33" s="5" t="s">
        <v>40</v>
      </c>
      <c r="D33" s="11">
        <v>697</v>
      </c>
      <c r="E33" s="11">
        <v>90.61</v>
      </c>
      <c r="F33" s="11">
        <v>0</v>
      </c>
      <c r="G33" s="11">
        <v>90.61</v>
      </c>
    </row>
    <row r="34" spans="1:7" x14ac:dyDescent="0.3">
      <c r="A34" s="5">
        <v>143876</v>
      </c>
      <c r="B34" s="10">
        <v>43485</v>
      </c>
      <c r="C34" s="5" t="s">
        <v>41</v>
      </c>
      <c r="D34" s="11">
        <v>309</v>
      </c>
      <c r="E34" s="11">
        <v>24.72</v>
      </c>
      <c r="F34" s="11">
        <v>50</v>
      </c>
      <c r="G34" s="11">
        <v>74.72</v>
      </c>
    </row>
    <row r="35" spans="1:7" x14ac:dyDescent="0.3">
      <c r="A35" s="5">
        <v>915421</v>
      </c>
      <c r="B35" s="10">
        <v>43474</v>
      </c>
      <c r="C35" s="5" t="s">
        <v>42</v>
      </c>
      <c r="D35" s="11">
        <v>147</v>
      </c>
      <c r="E35" s="11">
        <v>7.3500000000000005</v>
      </c>
      <c r="F35" s="11">
        <v>0</v>
      </c>
      <c r="G35" s="11">
        <v>7.3500000000000005</v>
      </c>
    </row>
    <row r="36" spans="1:7" x14ac:dyDescent="0.3">
      <c r="A36" s="5">
        <v>683656</v>
      </c>
      <c r="B36" s="10">
        <v>43495</v>
      </c>
      <c r="C36" s="5" t="s">
        <v>43</v>
      </c>
      <c r="D36" s="11">
        <v>61</v>
      </c>
      <c r="E36" s="11">
        <v>3.0500000000000003</v>
      </c>
      <c r="F36" s="11">
        <v>50</v>
      </c>
      <c r="G36" s="11">
        <v>53.05</v>
      </c>
    </row>
    <row r="37" spans="1:7" x14ac:dyDescent="0.3">
      <c r="A37" s="5">
        <v>589239</v>
      </c>
      <c r="B37" s="10">
        <v>43481</v>
      </c>
      <c r="C37" s="5" t="s">
        <v>44</v>
      </c>
      <c r="D37" s="11">
        <v>354</v>
      </c>
      <c r="E37" s="11">
        <v>28.32</v>
      </c>
      <c r="F37" s="11">
        <v>0</v>
      </c>
      <c r="G37" s="11">
        <v>28.32</v>
      </c>
    </row>
    <row r="38" spans="1:7" x14ac:dyDescent="0.3">
      <c r="A38" s="5">
        <v>147021</v>
      </c>
      <c r="B38" s="10">
        <v>43473</v>
      </c>
      <c r="C38" s="5" t="s">
        <v>45</v>
      </c>
      <c r="D38" s="11">
        <v>558</v>
      </c>
      <c r="E38" s="11">
        <v>72.540000000000006</v>
      </c>
      <c r="F38" s="11">
        <v>0</v>
      </c>
      <c r="G38" s="11">
        <v>72.540000000000006</v>
      </c>
    </row>
    <row r="39" spans="1:7" x14ac:dyDescent="0.3">
      <c r="A39" s="5">
        <v>454021</v>
      </c>
      <c r="B39" s="10">
        <v>43469</v>
      </c>
      <c r="C39" s="5" t="s">
        <v>46</v>
      </c>
      <c r="D39" s="11">
        <v>829</v>
      </c>
      <c r="E39" s="11">
        <v>107.77000000000001</v>
      </c>
      <c r="F39" s="11">
        <v>0</v>
      </c>
      <c r="G39" s="11">
        <v>107.77000000000001</v>
      </c>
    </row>
    <row r="40" spans="1:7" x14ac:dyDescent="0.3">
      <c r="A40" s="5">
        <v>153569</v>
      </c>
      <c r="B40" s="10">
        <v>43494</v>
      </c>
      <c r="C40" s="5" t="s">
        <v>47</v>
      </c>
      <c r="D40" s="11">
        <v>491</v>
      </c>
      <c r="E40" s="11">
        <v>63.830000000000005</v>
      </c>
      <c r="F40" s="11">
        <v>0</v>
      </c>
      <c r="G40" s="11">
        <v>63.830000000000005</v>
      </c>
    </row>
    <row r="41" spans="1:7" x14ac:dyDescent="0.3">
      <c r="A41" s="5">
        <v>716100</v>
      </c>
      <c r="B41" s="10">
        <v>43475</v>
      </c>
      <c r="C41" s="5" t="s">
        <v>48</v>
      </c>
      <c r="D41" s="11">
        <v>843</v>
      </c>
      <c r="E41" s="11">
        <v>109.59</v>
      </c>
      <c r="F41" s="11">
        <v>0</v>
      </c>
      <c r="G41" s="11">
        <v>109.59</v>
      </c>
    </row>
    <row r="42" spans="1:7" x14ac:dyDescent="0.3">
      <c r="A42" s="5">
        <v>677847</v>
      </c>
      <c r="B42" s="10">
        <v>43488</v>
      </c>
      <c r="C42" s="5" t="s">
        <v>49</v>
      </c>
      <c r="D42" s="11">
        <v>263</v>
      </c>
      <c r="E42" s="11">
        <v>21.04</v>
      </c>
      <c r="F42" s="11">
        <v>0</v>
      </c>
      <c r="G42" s="11">
        <v>21.04</v>
      </c>
    </row>
    <row r="43" spans="1:7" x14ac:dyDescent="0.3">
      <c r="A43" s="5">
        <v>576542</v>
      </c>
      <c r="B43" s="10">
        <v>43486</v>
      </c>
      <c r="C43" s="5" t="s">
        <v>50</v>
      </c>
      <c r="D43" s="11">
        <v>183</v>
      </c>
      <c r="E43" s="11">
        <v>9.15</v>
      </c>
      <c r="F43" s="11">
        <v>0</v>
      </c>
      <c r="G43" s="11">
        <v>9.15</v>
      </c>
    </row>
    <row r="44" spans="1:7" x14ac:dyDescent="0.3">
      <c r="A44" s="5">
        <v>958203</v>
      </c>
      <c r="B44" s="10">
        <v>43484</v>
      </c>
      <c r="C44" s="5" t="s">
        <v>51</v>
      </c>
      <c r="D44" s="11">
        <v>520</v>
      </c>
      <c r="E44" s="11">
        <v>67.600000000000009</v>
      </c>
      <c r="F44" s="11">
        <v>25</v>
      </c>
      <c r="G44" s="11">
        <v>92.600000000000009</v>
      </c>
    </row>
    <row r="45" spans="1:7" x14ac:dyDescent="0.3">
      <c r="A45" s="5">
        <v>795961</v>
      </c>
      <c r="B45" s="10">
        <v>43491</v>
      </c>
      <c r="C45" s="5" t="s">
        <v>52</v>
      </c>
      <c r="D45" s="11">
        <v>656</v>
      </c>
      <c r="E45" s="11">
        <v>85.28</v>
      </c>
      <c r="F45" s="11">
        <v>25</v>
      </c>
      <c r="G45" s="11">
        <v>110.28</v>
      </c>
    </row>
    <row r="46" spans="1:7" x14ac:dyDescent="0.3">
      <c r="A46" s="5">
        <v>226122</v>
      </c>
      <c r="B46" s="10">
        <v>43470</v>
      </c>
      <c r="C46" s="5" t="s">
        <v>53</v>
      </c>
      <c r="D46" s="11">
        <v>286</v>
      </c>
      <c r="E46" s="11">
        <v>22.88</v>
      </c>
      <c r="F46" s="11">
        <v>0</v>
      </c>
      <c r="G46" s="11">
        <v>22.88</v>
      </c>
    </row>
    <row r="47" spans="1:7" x14ac:dyDescent="0.3">
      <c r="A47" s="5">
        <v>442054</v>
      </c>
      <c r="B47" s="10">
        <v>43474</v>
      </c>
      <c r="C47" s="5" t="s">
        <v>54</v>
      </c>
      <c r="D47" s="11">
        <v>54</v>
      </c>
      <c r="E47" s="11">
        <v>2.7</v>
      </c>
      <c r="F47" s="11">
        <v>0</v>
      </c>
      <c r="G47" s="11">
        <v>2.7</v>
      </c>
    </row>
    <row r="48" spans="1:7" x14ac:dyDescent="0.3">
      <c r="A48" s="5">
        <v>840107</v>
      </c>
      <c r="B48" s="10">
        <v>43477</v>
      </c>
      <c r="C48" s="5" t="s">
        <v>55</v>
      </c>
      <c r="D48" s="11">
        <v>622</v>
      </c>
      <c r="E48" s="11">
        <v>80.86</v>
      </c>
      <c r="F48" s="11">
        <v>50</v>
      </c>
      <c r="G48" s="11">
        <v>130.86000000000001</v>
      </c>
    </row>
    <row r="49" spans="1:7" x14ac:dyDescent="0.3">
      <c r="A49" s="5">
        <v>464852</v>
      </c>
      <c r="B49" s="10">
        <v>43483</v>
      </c>
      <c r="C49" s="5" t="s">
        <v>56</v>
      </c>
      <c r="D49" s="11">
        <v>297</v>
      </c>
      <c r="E49" s="11">
        <v>23.76</v>
      </c>
      <c r="F49" s="11">
        <v>0</v>
      </c>
      <c r="G49" s="11">
        <v>23.76</v>
      </c>
    </row>
    <row r="50" spans="1:7" x14ac:dyDescent="0.3">
      <c r="A50" s="5">
        <v>935210</v>
      </c>
      <c r="B50" s="10">
        <v>43480</v>
      </c>
      <c r="C50" s="5" t="s">
        <v>57</v>
      </c>
      <c r="D50" s="11">
        <v>409</v>
      </c>
      <c r="E50" s="11">
        <v>53.17</v>
      </c>
      <c r="F50" s="11">
        <v>25</v>
      </c>
      <c r="G50" s="11">
        <v>78.17</v>
      </c>
    </row>
    <row r="51" spans="1:7" x14ac:dyDescent="0.3">
      <c r="A51" s="5">
        <v>215800</v>
      </c>
      <c r="B51" s="10">
        <v>43479</v>
      </c>
      <c r="C51" s="5" t="s">
        <v>58</v>
      </c>
      <c r="D51" s="11">
        <v>766</v>
      </c>
      <c r="E51" s="11">
        <v>99.58</v>
      </c>
      <c r="F51" s="11">
        <v>50</v>
      </c>
      <c r="G51" s="11">
        <v>149.57999999999998</v>
      </c>
    </row>
    <row r="52" spans="1:7" x14ac:dyDescent="0.3">
      <c r="A52" s="5">
        <v>255389</v>
      </c>
      <c r="B52" s="10">
        <v>43485</v>
      </c>
      <c r="C52" s="5" t="s">
        <v>59</v>
      </c>
      <c r="D52" s="11">
        <v>709</v>
      </c>
      <c r="E52" s="11">
        <v>92.17</v>
      </c>
      <c r="F52" s="11">
        <v>0</v>
      </c>
      <c r="G52" s="11">
        <v>92.17</v>
      </c>
    </row>
    <row r="53" spans="1:7" x14ac:dyDescent="0.3">
      <c r="A53" s="5">
        <v>422440</v>
      </c>
      <c r="B53" s="10">
        <v>43495</v>
      </c>
      <c r="C53" s="5" t="s">
        <v>60</v>
      </c>
      <c r="D53" s="11">
        <v>404</v>
      </c>
      <c r="E53" s="11">
        <v>52.52</v>
      </c>
      <c r="F53" s="11">
        <v>50</v>
      </c>
      <c r="G53" s="11">
        <v>102.52000000000001</v>
      </c>
    </row>
    <row r="54" spans="1:7" x14ac:dyDescent="0.3">
      <c r="A54" s="5">
        <v>196221</v>
      </c>
      <c r="B54" s="10">
        <v>43476</v>
      </c>
      <c r="C54" s="5" t="s">
        <v>61</v>
      </c>
      <c r="D54" s="11">
        <v>540</v>
      </c>
      <c r="E54" s="11">
        <v>70.2</v>
      </c>
      <c r="F54" s="11">
        <v>25</v>
      </c>
      <c r="G54" s="11">
        <v>95.2</v>
      </c>
    </row>
    <row r="55" spans="1:7" x14ac:dyDescent="0.3">
      <c r="A55" s="5">
        <v>577735</v>
      </c>
      <c r="B55" s="10">
        <v>43495</v>
      </c>
      <c r="C55" s="5" t="s">
        <v>62</v>
      </c>
      <c r="D55" s="11">
        <v>177</v>
      </c>
      <c r="E55" s="11">
        <v>8.85</v>
      </c>
      <c r="F55" s="11">
        <v>0</v>
      </c>
      <c r="G55" s="11">
        <v>8.85</v>
      </c>
    </row>
    <row r="56" spans="1:7" x14ac:dyDescent="0.3">
      <c r="A56" s="5">
        <v>576404</v>
      </c>
      <c r="B56" s="10">
        <v>43489</v>
      </c>
      <c r="C56" s="5" t="s">
        <v>63</v>
      </c>
      <c r="D56" s="11">
        <v>723</v>
      </c>
      <c r="E56" s="11">
        <v>93.990000000000009</v>
      </c>
      <c r="F56" s="11">
        <v>0</v>
      </c>
      <c r="G56" s="11">
        <v>93.990000000000009</v>
      </c>
    </row>
    <row r="57" spans="1:7" x14ac:dyDescent="0.3">
      <c r="A57" s="5">
        <v>367682</v>
      </c>
      <c r="B57" s="10">
        <v>43471</v>
      </c>
      <c r="C57" s="5" t="s">
        <v>64</v>
      </c>
      <c r="D57" s="11">
        <v>167</v>
      </c>
      <c r="E57" s="11">
        <v>8.35</v>
      </c>
      <c r="F57" s="11">
        <v>0</v>
      </c>
      <c r="G57" s="11">
        <v>8.35</v>
      </c>
    </row>
    <row r="58" spans="1:7" x14ac:dyDescent="0.3">
      <c r="A58" s="5">
        <v>146509</v>
      </c>
      <c r="B58" s="10">
        <v>43490</v>
      </c>
      <c r="C58" s="5" t="s">
        <v>65</v>
      </c>
      <c r="D58" s="11">
        <v>554</v>
      </c>
      <c r="E58" s="11">
        <v>72.02</v>
      </c>
      <c r="F58" s="11">
        <v>0</v>
      </c>
      <c r="G58" s="11">
        <v>72.02</v>
      </c>
    </row>
    <row r="59" spans="1:7" x14ac:dyDescent="0.3">
      <c r="A59" s="5">
        <v>980247</v>
      </c>
      <c r="B59" s="10">
        <v>43479</v>
      </c>
      <c r="C59" s="5" t="s">
        <v>66</v>
      </c>
      <c r="D59" s="11">
        <v>342</v>
      </c>
      <c r="E59" s="11">
        <v>27.36</v>
      </c>
      <c r="F59" s="11">
        <v>0</v>
      </c>
      <c r="G59" s="11">
        <v>27.36</v>
      </c>
    </row>
    <row r="60" spans="1:7" x14ac:dyDescent="0.3">
      <c r="A60" s="5">
        <v>494955</v>
      </c>
      <c r="B60" s="10">
        <v>43476</v>
      </c>
      <c r="C60" s="5" t="s">
        <v>67</v>
      </c>
      <c r="D60" s="11">
        <v>503</v>
      </c>
      <c r="E60" s="11">
        <v>65.39</v>
      </c>
      <c r="F60" s="11">
        <v>50</v>
      </c>
      <c r="G60" s="11">
        <v>115.39</v>
      </c>
    </row>
    <row r="61" spans="1:7" x14ac:dyDescent="0.3">
      <c r="A61" s="5">
        <v>259606</v>
      </c>
      <c r="B61" s="10">
        <v>43489</v>
      </c>
      <c r="C61" s="5" t="s">
        <v>68</v>
      </c>
      <c r="D61" s="11">
        <v>829</v>
      </c>
      <c r="E61" s="11">
        <v>107.77000000000001</v>
      </c>
      <c r="F61" s="11">
        <v>0</v>
      </c>
      <c r="G61" s="11">
        <v>107.77000000000001</v>
      </c>
    </row>
    <row r="62" spans="1:7" x14ac:dyDescent="0.3">
      <c r="A62" s="5">
        <v>169959</v>
      </c>
      <c r="B62" s="10">
        <v>43478</v>
      </c>
      <c r="C62" s="5" t="s">
        <v>69</v>
      </c>
      <c r="D62" s="11">
        <v>252</v>
      </c>
      <c r="E62" s="11">
        <v>20.16</v>
      </c>
      <c r="F62" s="11">
        <v>25</v>
      </c>
      <c r="G62" s="11">
        <v>45.16</v>
      </c>
    </row>
    <row r="63" spans="1:7" x14ac:dyDescent="0.3">
      <c r="A63" s="5">
        <v>590639</v>
      </c>
      <c r="B63" s="10">
        <v>43472</v>
      </c>
      <c r="C63" s="5" t="s">
        <v>70</v>
      </c>
      <c r="D63" s="11">
        <v>549</v>
      </c>
      <c r="E63" s="11">
        <v>71.37</v>
      </c>
      <c r="F63" s="11">
        <v>25</v>
      </c>
      <c r="G63" s="11">
        <v>96.37</v>
      </c>
    </row>
    <row r="64" spans="1:7" x14ac:dyDescent="0.3">
      <c r="A64" s="5">
        <v>229213</v>
      </c>
      <c r="B64" s="10">
        <v>43475</v>
      </c>
      <c r="C64" s="5" t="s">
        <v>71</v>
      </c>
      <c r="D64" s="11">
        <v>73</v>
      </c>
      <c r="E64" s="11">
        <v>3.6500000000000004</v>
      </c>
      <c r="F64" s="11">
        <v>0</v>
      </c>
      <c r="G64" s="11">
        <v>3.6500000000000004</v>
      </c>
    </row>
    <row r="65" spans="1:7" x14ac:dyDescent="0.3">
      <c r="A65" s="5">
        <v>898545</v>
      </c>
      <c r="B65" s="10">
        <v>43470</v>
      </c>
      <c r="C65" s="5" t="s">
        <v>72</v>
      </c>
      <c r="D65" s="11">
        <v>657</v>
      </c>
      <c r="E65" s="11">
        <v>85.41</v>
      </c>
      <c r="F65" s="11">
        <v>25</v>
      </c>
      <c r="G65" s="11">
        <v>110.41</v>
      </c>
    </row>
    <row r="66" spans="1:7" x14ac:dyDescent="0.3">
      <c r="A66" s="5">
        <v>120522</v>
      </c>
      <c r="B66" s="10">
        <v>43485</v>
      </c>
      <c r="C66" s="5" t="s">
        <v>73</v>
      </c>
      <c r="D66" s="11">
        <v>243</v>
      </c>
      <c r="E66" s="11">
        <v>19.440000000000001</v>
      </c>
      <c r="F66" s="11">
        <v>0</v>
      </c>
      <c r="G66" s="11">
        <v>19.440000000000001</v>
      </c>
    </row>
    <row r="67" spans="1:7" x14ac:dyDescent="0.3">
      <c r="A67" s="5">
        <v>449865</v>
      </c>
      <c r="B67" s="10">
        <v>43469</v>
      </c>
      <c r="C67" s="5" t="s">
        <v>74</v>
      </c>
      <c r="D67" s="11">
        <v>115</v>
      </c>
      <c r="E67" s="11">
        <v>5.75</v>
      </c>
      <c r="F67" s="11">
        <v>0</v>
      </c>
      <c r="G67" s="11">
        <v>5.75</v>
      </c>
    </row>
    <row r="68" spans="1:7" x14ac:dyDescent="0.3">
      <c r="A68" s="5">
        <v>361770</v>
      </c>
      <c r="B68" s="10">
        <v>43472</v>
      </c>
      <c r="C68" s="5" t="s">
        <v>75</v>
      </c>
      <c r="D68" s="11">
        <v>267</v>
      </c>
      <c r="E68" s="11">
        <v>21.36</v>
      </c>
      <c r="F68" s="11">
        <v>25</v>
      </c>
      <c r="G68" s="11">
        <v>46.36</v>
      </c>
    </row>
    <row r="69" spans="1:7" x14ac:dyDescent="0.3">
      <c r="A69" s="5">
        <v>241011</v>
      </c>
      <c r="B69" s="10">
        <v>43496</v>
      </c>
      <c r="C69" s="5" t="s">
        <v>76</v>
      </c>
      <c r="D69" s="11">
        <v>550</v>
      </c>
      <c r="E69" s="11">
        <v>71.5</v>
      </c>
      <c r="F69" s="11">
        <v>50</v>
      </c>
      <c r="G69" s="11">
        <v>121.5</v>
      </c>
    </row>
    <row r="70" spans="1:7" x14ac:dyDescent="0.3">
      <c r="A70" s="5">
        <v>834172</v>
      </c>
      <c r="B70" s="10">
        <v>43481</v>
      </c>
      <c r="C70" s="5" t="s">
        <v>77</v>
      </c>
      <c r="D70" s="11">
        <v>509</v>
      </c>
      <c r="E70" s="11">
        <v>66.17</v>
      </c>
      <c r="F70" s="11">
        <v>0</v>
      </c>
      <c r="G70" s="11">
        <v>66.17</v>
      </c>
    </row>
    <row r="71" spans="1:7" x14ac:dyDescent="0.3">
      <c r="A71" s="5">
        <v>199365</v>
      </c>
      <c r="B71" s="10">
        <v>43484</v>
      </c>
      <c r="C71" s="5" t="s">
        <v>78</v>
      </c>
      <c r="D71" s="11">
        <v>345</v>
      </c>
      <c r="E71" s="11">
        <v>27.6</v>
      </c>
      <c r="F71" s="11">
        <v>50</v>
      </c>
      <c r="G71" s="11">
        <v>77.599999999999994</v>
      </c>
    </row>
    <row r="72" spans="1:7" x14ac:dyDescent="0.3">
      <c r="A72" s="5">
        <v>844468</v>
      </c>
      <c r="B72" s="10">
        <v>43494</v>
      </c>
      <c r="C72" s="5" t="s">
        <v>79</v>
      </c>
      <c r="D72" s="11">
        <v>98</v>
      </c>
      <c r="E72" s="11">
        <v>4.9000000000000004</v>
      </c>
      <c r="F72" s="11">
        <v>50</v>
      </c>
      <c r="G72" s="11">
        <v>54.9</v>
      </c>
    </row>
    <row r="73" spans="1:7" x14ac:dyDescent="0.3">
      <c r="A73" s="5">
        <v>832687</v>
      </c>
      <c r="B73" s="10">
        <v>43472</v>
      </c>
      <c r="C73" s="5" t="s">
        <v>80</v>
      </c>
      <c r="D73" s="11">
        <v>673</v>
      </c>
      <c r="E73" s="11">
        <v>87.490000000000009</v>
      </c>
      <c r="F73" s="11">
        <v>0</v>
      </c>
      <c r="G73" s="11">
        <v>87.490000000000009</v>
      </c>
    </row>
    <row r="74" spans="1:7" x14ac:dyDescent="0.3">
      <c r="A74" s="5">
        <v>979651</v>
      </c>
      <c r="B74" s="10">
        <v>43487</v>
      </c>
      <c r="C74" s="5" t="s">
        <v>81</v>
      </c>
      <c r="D74" s="11">
        <v>658</v>
      </c>
      <c r="E74" s="11">
        <v>85.54</v>
      </c>
      <c r="F74" s="11">
        <v>50</v>
      </c>
      <c r="G74" s="11">
        <v>135.54000000000002</v>
      </c>
    </row>
    <row r="75" spans="1:7" x14ac:dyDescent="0.3">
      <c r="A75" s="5">
        <v>262350</v>
      </c>
      <c r="B75" s="10">
        <v>43487</v>
      </c>
      <c r="C75" s="5" t="s">
        <v>82</v>
      </c>
      <c r="D75" s="11">
        <v>155</v>
      </c>
      <c r="E75" s="11">
        <v>7.75</v>
      </c>
      <c r="F75" s="11">
        <v>0</v>
      </c>
      <c r="G75" s="11">
        <v>7.75</v>
      </c>
    </row>
    <row r="76" spans="1:7" x14ac:dyDescent="0.3">
      <c r="A76" s="5">
        <v>435819</v>
      </c>
      <c r="B76" s="10">
        <v>43490</v>
      </c>
      <c r="C76" s="5" t="s">
        <v>83</v>
      </c>
      <c r="D76" s="11">
        <v>94</v>
      </c>
      <c r="E76" s="11">
        <v>4.7</v>
      </c>
      <c r="F76" s="11">
        <v>25</v>
      </c>
      <c r="G76" s="11">
        <v>29.7</v>
      </c>
    </row>
    <row r="77" spans="1:7" x14ac:dyDescent="0.3">
      <c r="A77" s="5">
        <v>562984</v>
      </c>
      <c r="B77" s="10">
        <v>43489</v>
      </c>
      <c r="C77" s="5" t="s">
        <v>84</v>
      </c>
      <c r="D77" s="11">
        <v>661</v>
      </c>
      <c r="E77" s="11">
        <v>85.93</v>
      </c>
      <c r="F77" s="11">
        <v>50</v>
      </c>
      <c r="G77" s="11">
        <v>135.93</v>
      </c>
    </row>
    <row r="78" spans="1:7" x14ac:dyDescent="0.3">
      <c r="A78" s="5">
        <v>417445</v>
      </c>
      <c r="B78" s="10">
        <v>43489</v>
      </c>
      <c r="C78" s="5" t="s">
        <v>85</v>
      </c>
      <c r="D78" s="11">
        <v>630</v>
      </c>
      <c r="E78" s="11">
        <v>81.900000000000006</v>
      </c>
      <c r="F78" s="11">
        <v>0</v>
      </c>
      <c r="G78" s="11">
        <v>81.900000000000006</v>
      </c>
    </row>
    <row r="79" spans="1:7" x14ac:dyDescent="0.3">
      <c r="A79" s="5">
        <v>488770</v>
      </c>
      <c r="B79" s="10">
        <v>43469</v>
      </c>
      <c r="C79" s="5" t="s">
        <v>86</v>
      </c>
      <c r="D79" s="11">
        <v>551</v>
      </c>
      <c r="E79" s="11">
        <v>71.63</v>
      </c>
      <c r="F79" s="11">
        <v>0</v>
      </c>
      <c r="G79" s="11">
        <v>71.63</v>
      </c>
    </row>
    <row r="80" spans="1:7" x14ac:dyDescent="0.3">
      <c r="A80" s="5">
        <v>960757</v>
      </c>
      <c r="B80" s="10">
        <v>43469</v>
      </c>
      <c r="C80" s="5" t="s">
        <v>87</v>
      </c>
      <c r="D80" s="11">
        <v>356</v>
      </c>
      <c r="E80" s="11">
        <v>28.48</v>
      </c>
      <c r="F80" s="11">
        <v>50</v>
      </c>
      <c r="G80" s="11">
        <v>78.48</v>
      </c>
    </row>
    <row r="81" spans="1:7" x14ac:dyDescent="0.3">
      <c r="A81" s="5">
        <v>871073</v>
      </c>
      <c r="B81" s="10">
        <v>43493</v>
      </c>
      <c r="C81" s="5" t="s">
        <v>88</v>
      </c>
      <c r="D81" s="11">
        <v>425</v>
      </c>
      <c r="E81" s="11">
        <v>55.25</v>
      </c>
      <c r="F81" s="11">
        <v>25</v>
      </c>
      <c r="G81" s="11">
        <v>80.25</v>
      </c>
    </row>
    <row r="82" spans="1:7" x14ac:dyDescent="0.3">
      <c r="A82" s="5">
        <v>653007</v>
      </c>
      <c r="B82" s="10">
        <v>43476</v>
      </c>
      <c r="C82" s="5" t="s">
        <v>89</v>
      </c>
      <c r="D82" s="11">
        <v>51</v>
      </c>
      <c r="E82" s="11">
        <v>2.5500000000000003</v>
      </c>
      <c r="F82" s="11">
        <v>0</v>
      </c>
      <c r="G82" s="11">
        <v>2.5500000000000003</v>
      </c>
    </row>
    <row r="83" spans="1:7" x14ac:dyDescent="0.3">
      <c r="A83" s="5">
        <v>871470</v>
      </c>
      <c r="B83" s="10">
        <v>43471</v>
      </c>
      <c r="C83" s="5" t="s">
        <v>90</v>
      </c>
      <c r="D83" s="11">
        <v>850</v>
      </c>
      <c r="E83" s="11">
        <v>110.5</v>
      </c>
      <c r="F83" s="11">
        <v>0</v>
      </c>
      <c r="G83" s="11">
        <v>110.5</v>
      </c>
    </row>
    <row r="84" spans="1:7" x14ac:dyDescent="0.3">
      <c r="A84" s="5">
        <v>402154</v>
      </c>
      <c r="B84" s="10">
        <v>43475</v>
      </c>
      <c r="C84" s="5" t="s">
        <v>91</v>
      </c>
      <c r="D84" s="11">
        <v>356</v>
      </c>
      <c r="E84" s="11">
        <v>28.48</v>
      </c>
      <c r="F84" s="11">
        <v>0</v>
      </c>
      <c r="G84" s="11">
        <v>28.48</v>
      </c>
    </row>
    <row r="85" spans="1:7" x14ac:dyDescent="0.3">
      <c r="A85" s="5">
        <v>846403</v>
      </c>
      <c r="B85" s="10">
        <v>43486</v>
      </c>
      <c r="C85" s="5" t="s">
        <v>92</v>
      </c>
      <c r="D85" s="11">
        <v>816</v>
      </c>
      <c r="E85" s="11">
        <v>106.08</v>
      </c>
      <c r="F85" s="11">
        <v>0</v>
      </c>
      <c r="G85" s="11">
        <v>106.08</v>
      </c>
    </row>
    <row r="86" spans="1:7" x14ac:dyDescent="0.3">
      <c r="A86" s="5">
        <v>686587</v>
      </c>
      <c r="B86" s="10">
        <v>43474</v>
      </c>
      <c r="C86" s="5" t="s">
        <v>93</v>
      </c>
      <c r="D86" s="11">
        <v>450</v>
      </c>
      <c r="E86" s="11">
        <v>58.5</v>
      </c>
      <c r="F86" s="11">
        <v>25</v>
      </c>
      <c r="G86" s="11">
        <v>83.5</v>
      </c>
    </row>
    <row r="87" spans="1:7" x14ac:dyDescent="0.3">
      <c r="A87" s="5">
        <v>220814</v>
      </c>
      <c r="B87" s="10">
        <v>43473</v>
      </c>
      <c r="C87" s="5" t="s">
        <v>94</v>
      </c>
      <c r="D87" s="11">
        <v>603</v>
      </c>
      <c r="E87" s="11">
        <v>78.39</v>
      </c>
      <c r="F87" s="11">
        <v>0</v>
      </c>
      <c r="G87" s="11">
        <v>78.39</v>
      </c>
    </row>
    <row r="88" spans="1:7" x14ac:dyDescent="0.3">
      <c r="A88" s="5">
        <v>344576</v>
      </c>
      <c r="B88" s="10">
        <v>43466</v>
      </c>
      <c r="C88" s="5" t="s">
        <v>95</v>
      </c>
      <c r="D88" s="11">
        <v>787</v>
      </c>
      <c r="E88" s="11">
        <v>102.31</v>
      </c>
      <c r="F88" s="11">
        <v>0</v>
      </c>
      <c r="G88" s="11">
        <v>102.31</v>
      </c>
    </row>
    <row r="89" spans="1:7" x14ac:dyDescent="0.3">
      <c r="A89" s="5">
        <v>361579</v>
      </c>
      <c r="B89" s="10">
        <v>43482</v>
      </c>
      <c r="C89" s="5" t="s">
        <v>96</v>
      </c>
      <c r="D89" s="11">
        <v>848</v>
      </c>
      <c r="E89" s="11">
        <v>110.24000000000001</v>
      </c>
      <c r="F89" s="11">
        <v>25</v>
      </c>
      <c r="G89" s="11">
        <v>135.24</v>
      </c>
    </row>
    <row r="90" spans="1:7" x14ac:dyDescent="0.3">
      <c r="A90" s="5">
        <v>741641</v>
      </c>
      <c r="B90" s="10">
        <v>43483</v>
      </c>
      <c r="C90" s="5" t="s">
        <v>97</v>
      </c>
      <c r="D90" s="11">
        <v>260</v>
      </c>
      <c r="E90" s="11">
        <v>20.8</v>
      </c>
      <c r="F90" s="11">
        <v>25</v>
      </c>
      <c r="G90" s="11">
        <v>45.8</v>
      </c>
    </row>
    <row r="91" spans="1:7" x14ac:dyDescent="0.3">
      <c r="A91" s="5">
        <v>238769</v>
      </c>
      <c r="B91" s="10">
        <v>43467</v>
      </c>
      <c r="C91" s="5" t="s">
        <v>98</v>
      </c>
      <c r="D91" s="11">
        <v>217</v>
      </c>
      <c r="E91" s="11">
        <v>17.36</v>
      </c>
      <c r="F91" s="11">
        <v>0</v>
      </c>
      <c r="G91" s="11">
        <v>17.36</v>
      </c>
    </row>
    <row r="92" spans="1:7" x14ac:dyDescent="0.3">
      <c r="A92" s="5">
        <v>209986</v>
      </c>
      <c r="B92" s="10">
        <v>43490</v>
      </c>
      <c r="C92" s="5" t="s">
        <v>99</v>
      </c>
      <c r="D92" s="11">
        <v>806</v>
      </c>
      <c r="E92" s="11">
        <v>104.78</v>
      </c>
      <c r="F92" s="11">
        <v>0</v>
      </c>
      <c r="G92" s="11">
        <v>104.78</v>
      </c>
    </row>
    <row r="93" spans="1:7" x14ac:dyDescent="0.3">
      <c r="A93" s="5">
        <v>641161</v>
      </c>
      <c r="B93" s="10">
        <v>43485</v>
      </c>
      <c r="C93" s="5" t="s">
        <v>100</v>
      </c>
      <c r="D93" s="11">
        <v>501</v>
      </c>
      <c r="E93" s="11">
        <v>65.13</v>
      </c>
      <c r="F93" s="11">
        <v>0</v>
      </c>
      <c r="G93" s="11">
        <v>65.13</v>
      </c>
    </row>
    <row r="94" spans="1:7" x14ac:dyDescent="0.3">
      <c r="A94" s="5">
        <v>872589</v>
      </c>
      <c r="B94" s="10">
        <v>43478</v>
      </c>
      <c r="C94" s="5" t="s">
        <v>101</v>
      </c>
      <c r="D94" s="11">
        <v>774</v>
      </c>
      <c r="E94" s="11">
        <v>100.62</v>
      </c>
      <c r="F94" s="11">
        <v>0</v>
      </c>
      <c r="G94" s="11">
        <v>100.62</v>
      </c>
    </row>
    <row r="95" spans="1:7" x14ac:dyDescent="0.3">
      <c r="A95" s="5">
        <v>948519</v>
      </c>
      <c r="B95" s="10">
        <v>43484</v>
      </c>
      <c r="C95" s="5" t="s">
        <v>102</v>
      </c>
      <c r="D95" s="11">
        <v>658</v>
      </c>
      <c r="E95" s="11">
        <v>85.54</v>
      </c>
      <c r="F95" s="11">
        <v>50</v>
      </c>
      <c r="G95" s="11">
        <v>135.54000000000002</v>
      </c>
    </row>
    <row r="96" spans="1:7" x14ac:dyDescent="0.3">
      <c r="A96" s="5">
        <v>858967</v>
      </c>
      <c r="B96" s="10">
        <v>43470</v>
      </c>
      <c r="C96" s="5" t="s">
        <v>103</v>
      </c>
      <c r="D96" s="11">
        <v>819</v>
      </c>
      <c r="E96" s="11">
        <v>106.47</v>
      </c>
      <c r="F96" s="11">
        <v>0</v>
      </c>
      <c r="G96" s="11">
        <v>106.47</v>
      </c>
    </row>
    <row r="97" spans="1:7" x14ac:dyDescent="0.3">
      <c r="A97" s="5">
        <v>270844</v>
      </c>
      <c r="B97" s="10">
        <v>43483</v>
      </c>
      <c r="C97" s="5" t="s">
        <v>104</v>
      </c>
      <c r="D97" s="11">
        <v>678</v>
      </c>
      <c r="E97" s="11">
        <v>88.14</v>
      </c>
      <c r="F97" s="11">
        <v>0</v>
      </c>
      <c r="G97" s="11">
        <v>88.14</v>
      </c>
    </row>
    <row r="98" spans="1:7" x14ac:dyDescent="0.3">
      <c r="A98" s="5">
        <v>476945</v>
      </c>
      <c r="B98" s="10">
        <v>43481</v>
      </c>
      <c r="C98" s="5" t="s">
        <v>105</v>
      </c>
      <c r="D98" s="11">
        <v>790</v>
      </c>
      <c r="E98" s="11">
        <v>102.7</v>
      </c>
      <c r="F98" s="11">
        <v>0</v>
      </c>
      <c r="G98" s="11">
        <v>102.7</v>
      </c>
    </row>
    <row r="99" spans="1:7" x14ac:dyDescent="0.3">
      <c r="A99" s="5">
        <v>236726</v>
      </c>
      <c r="B99" s="10">
        <v>43495</v>
      </c>
      <c r="C99" s="5" t="s">
        <v>106</v>
      </c>
      <c r="D99" s="11">
        <v>313</v>
      </c>
      <c r="E99" s="11">
        <v>25.04</v>
      </c>
      <c r="F99" s="11">
        <v>25</v>
      </c>
      <c r="G99" s="11">
        <v>50.04</v>
      </c>
    </row>
    <row r="100" spans="1:7" x14ac:dyDescent="0.3">
      <c r="A100" s="5">
        <v>694183</v>
      </c>
      <c r="B100" s="10">
        <v>43467</v>
      </c>
      <c r="C100" s="5" t="s">
        <v>107</v>
      </c>
      <c r="D100" s="11">
        <v>333</v>
      </c>
      <c r="E100" s="11">
        <v>26.64</v>
      </c>
      <c r="F100" s="11">
        <v>0</v>
      </c>
      <c r="G100" s="11">
        <v>26.64</v>
      </c>
    </row>
    <row r="101" spans="1:7" x14ac:dyDescent="0.3">
      <c r="A101" s="5">
        <v>330358</v>
      </c>
      <c r="B101" s="10">
        <v>43480</v>
      </c>
      <c r="C101" s="5" t="s">
        <v>108</v>
      </c>
      <c r="D101" s="11">
        <v>652</v>
      </c>
      <c r="E101" s="11">
        <v>84.76</v>
      </c>
      <c r="F101" s="11">
        <v>50</v>
      </c>
      <c r="G101" s="11">
        <v>134.76</v>
      </c>
    </row>
    <row r="102" spans="1:7" x14ac:dyDescent="0.3">
      <c r="A102" s="5">
        <v>326569</v>
      </c>
      <c r="B102" s="10">
        <v>43490</v>
      </c>
      <c r="C102" s="5" t="s">
        <v>109</v>
      </c>
      <c r="D102" s="11">
        <v>187</v>
      </c>
      <c r="E102" s="11">
        <v>9.35</v>
      </c>
      <c r="F102" s="11">
        <v>0</v>
      </c>
      <c r="G102" s="11">
        <v>9.35</v>
      </c>
    </row>
    <row r="103" spans="1:7" x14ac:dyDescent="0.3">
      <c r="A103" s="5">
        <v>621058</v>
      </c>
      <c r="B103" s="10">
        <v>43466</v>
      </c>
      <c r="C103" s="5" t="s">
        <v>110</v>
      </c>
      <c r="D103" s="11">
        <v>569</v>
      </c>
      <c r="E103" s="11">
        <v>73.97</v>
      </c>
      <c r="F103" s="11">
        <v>0</v>
      </c>
      <c r="G103" s="11">
        <v>73.97</v>
      </c>
    </row>
    <row r="104" spans="1:7" x14ac:dyDescent="0.3">
      <c r="A104" s="5">
        <v>812718</v>
      </c>
      <c r="B104" s="10">
        <v>43472</v>
      </c>
      <c r="C104" s="5" t="s">
        <v>111</v>
      </c>
      <c r="D104" s="11">
        <v>171</v>
      </c>
      <c r="E104" s="11">
        <v>8.5500000000000007</v>
      </c>
      <c r="F104" s="11">
        <v>0</v>
      </c>
      <c r="G104" s="11">
        <v>8.5500000000000007</v>
      </c>
    </row>
    <row r="105" spans="1:7" x14ac:dyDescent="0.3">
      <c r="A105" s="5">
        <v>430366</v>
      </c>
      <c r="B105" s="10">
        <v>43479</v>
      </c>
      <c r="C105" s="5" t="s">
        <v>62</v>
      </c>
      <c r="D105" s="11">
        <v>219</v>
      </c>
      <c r="E105" s="11">
        <v>17.52</v>
      </c>
      <c r="F105" s="11">
        <v>0</v>
      </c>
      <c r="G105" s="11">
        <v>17.52</v>
      </c>
    </row>
    <row r="106" spans="1:7" x14ac:dyDescent="0.3">
      <c r="A106" s="5">
        <v>229410</v>
      </c>
      <c r="B106" s="10">
        <v>43468</v>
      </c>
      <c r="C106" s="5" t="s">
        <v>63</v>
      </c>
      <c r="D106" s="11">
        <v>298</v>
      </c>
      <c r="E106" s="11">
        <v>23.84</v>
      </c>
      <c r="F106" s="11">
        <v>0</v>
      </c>
      <c r="G106" s="11">
        <v>23.84</v>
      </c>
    </row>
    <row r="107" spans="1:7" x14ac:dyDescent="0.3">
      <c r="A107" s="5">
        <v>542324</v>
      </c>
      <c r="B107" s="10">
        <v>43478</v>
      </c>
      <c r="C107" s="5" t="s">
        <v>64</v>
      </c>
      <c r="D107" s="11">
        <v>385</v>
      </c>
      <c r="E107" s="11">
        <v>30.8</v>
      </c>
      <c r="F107" s="11">
        <v>25</v>
      </c>
      <c r="G107" s="11">
        <v>55.8</v>
      </c>
    </row>
    <row r="108" spans="1:7" x14ac:dyDescent="0.3">
      <c r="A108" s="5">
        <v>752945</v>
      </c>
      <c r="B108" s="10">
        <v>43467</v>
      </c>
      <c r="C108" s="5" t="s">
        <v>65</v>
      </c>
      <c r="D108" s="11">
        <v>413</v>
      </c>
      <c r="E108" s="11">
        <v>53.690000000000005</v>
      </c>
      <c r="F108" s="11">
        <v>0</v>
      </c>
      <c r="G108" s="11">
        <v>53.690000000000005</v>
      </c>
    </row>
    <row r="109" spans="1:7" x14ac:dyDescent="0.3">
      <c r="A109" s="5">
        <v>632925</v>
      </c>
      <c r="B109" s="10">
        <v>43490</v>
      </c>
      <c r="C109" s="5" t="s">
        <v>66</v>
      </c>
      <c r="D109" s="11">
        <v>707</v>
      </c>
      <c r="E109" s="11">
        <v>91.91</v>
      </c>
      <c r="F109" s="11">
        <v>50</v>
      </c>
      <c r="G109" s="11">
        <v>141.91</v>
      </c>
    </row>
    <row r="110" spans="1:7" x14ac:dyDescent="0.3">
      <c r="A110" s="5">
        <v>901323</v>
      </c>
      <c r="B110" s="10">
        <v>43471</v>
      </c>
      <c r="C110" s="5" t="s">
        <v>67</v>
      </c>
      <c r="D110" s="11">
        <v>689</v>
      </c>
      <c r="E110" s="11">
        <v>89.570000000000007</v>
      </c>
      <c r="F110" s="11">
        <v>0</v>
      </c>
      <c r="G110" s="11">
        <v>89.570000000000007</v>
      </c>
    </row>
    <row r="111" spans="1:7" x14ac:dyDescent="0.3">
      <c r="A111" s="5">
        <v>138414</v>
      </c>
      <c r="B111" s="10">
        <v>43470</v>
      </c>
      <c r="C111" s="5" t="s">
        <v>68</v>
      </c>
      <c r="D111" s="11">
        <v>726</v>
      </c>
      <c r="E111" s="11">
        <v>94.38000000000001</v>
      </c>
      <c r="F111" s="11">
        <v>0</v>
      </c>
      <c r="G111" s="11">
        <v>94.38000000000001</v>
      </c>
    </row>
    <row r="112" spans="1:7" x14ac:dyDescent="0.3">
      <c r="A112" s="5">
        <v>687854</v>
      </c>
      <c r="B112" s="10">
        <v>43491</v>
      </c>
      <c r="C112" s="5" t="s">
        <v>69</v>
      </c>
      <c r="D112" s="11">
        <v>760</v>
      </c>
      <c r="E112" s="11">
        <v>98.8</v>
      </c>
      <c r="F112" s="11">
        <v>0</v>
      </c>
      <c r="G112" s="11">
        <v>98.8</v>
      </c>
    </row>
    <row r="113" spans="1:7" x14ac:dyDescent="0.3">
      <c r="A113" s="5">
        <v>662303</v>
      </c>
      <c r="B113" s="10">
        <v>43488</v>
      </c>
      <c r="C113" s="5" t="s">
        <v>70</v>
      </c>
      <c r="D113" s="11">
        <v>736</v>
      </c>
      <c r="E113" s="11">
        <v>95.68</v>
      </c>
      <c r="F113" s="11">
        <v>25</v>
      </c>
      <c r="G113" s="11">
        <v>120.68</v>
      </c>
    </row>
    <row r="114" spans="1:7" x14ac:dyDescent="0.3">
      <c r="A114" s="5">
        <v>404554</v>
      </c>
      <c r="B114" s="10">
        <v>43468</v>
      </c>
      <c r="C114" s="5" t="s">
        <v>71</v>
      </c>
      <c r="D114" s="11">
        <v>121</v>
      </c>
      <c r="E114" s="11">
        <v>6.0500000000000007</v>
      </c>
      <c r="F114" s="11">
        <v>0</v>
      </c>
      <c r="G114" s="11">
        <v>6.0500000000000007</v>
      </c>
    </row>
    <row r="115" spans="1:7" x14ac:dyDescent="0.3">
      <c r="A115" s="5">
        <v>460499</v>
      </c>
      <c r="B115" s="10">
        <v>43490</v>
      </c>
      <c r="C115" s="5" t="s">
        <v>72</v>
      </c>
      <c r="D115" s="11">
        <v>421</v>
      </c>
      <c r="E115" s="11">
        <v>54.730000000000004</v>
      </c>
      <c r="F115" s="11">
        <v>25</v>
      </c>
      <c r="G115" s="11">
        <v>79.73</v>
      </c>
    </row>
    <row r="116" spans="1:7" x14ac:dyDescent="0.3">
      <c r="A116" s="5">
        <v>473632</v>
      </c>
      <c r="B116" s="10">
        <v>43478</v>
      </c>
      <c r="C116" s="5" t="s">
        <v>73</v>
      </c>
      <c r="D116" s="11">
        <v>97</v>
      </c>
      <c r="E116" s="11">
        <v>4.8500000000000005</v>
      </c>
      <c r="F116" s="11">
        <v>0</v>
      </c>
      <c r="G116" s="11">
        <v>4.8500000000000005</v>
      </c>
    </row>
    <row r="117" spans="1:7" x14ac:dyDescent="0.3">
      <c r="A117" s="5">
        <v>658491</v>
      </c>
      <c r="B117" s="10">
        <v>43476</v>
      </c>
      <c r="C117" s="5" t="s">
        <v>74</v>
      </c>
      <c r="D117" s="11">
        <v>706</v>
      </c>
      <c r="E117" s="11">
        <v>91.78</v>
      </c>
      <c r="F117" s="11">
        <v>0</v>
      </c>
      <c r="G117" s="11">
        <v>91.78</v>
      </c>
    </row>
    <row r="118" spans="1:7" x14ac:dyDescent="0.3">
      <c r="A118" s="5">
        <v>802597</v>
      </c>
      <c r="B118" s="10">
        <v>43496</v>
      </c>
      <c r="C118" s="5" t="s">
        <v>75</v>
      </c>
      <c r="D118" s="11">
        <v>317</v>
      </c>
      <c r="E118" s="11">
        <v>25.36</v>
      </c>
      <c r="F118" s="11">
        <v>0</v>
      </c>
      <c r="G118" s="11">
        <v>25.36</v>
      </c>
    </row>
    <row r="119" spans="1:7" x14ac:dyDescent="0.3">
      <c r="A119" s="5">
        <v>226589</v>
      </c>
      <c r="B119" s="10">
        <v>43466</v>
      </c>
      <c r="C119" s="5" t="s">
        <v>76</v>
      </c>
      <c r="D119" s="11">
        <v>241</v>
      </c>
      <c r="E119" s="11">
        <v>19.28</v>
      </c>
      <c r="F119" s="11">
        <v>50</v>
      </c>
      <c r="G119" s="11">
        <v>69.28</v>
      </c>
    </row>
    <row r="120" spans="1:7" x14ac:dyDescent="0.3">
      <c r="A120" s="5">
        <v>682257</v>
      </c>
      <c r="B120" s="10">
        <v>43471</v>
      </c>
      <c r="C120" s="5" t="s">
        <v>77</v>
      </c>
      <c r="D120" s="11">
        <v>232</v>
      </c>
      <c r="E120" s="11">
        <v>18.559999999999999</v>
      </c>
      <c r="F120" s="11">
        <v>0</v>
      </c>
      <c r="G120" s="11">
        <v>18.559999999999999</v>
      </c>
    </row>
    <row r="121" spans="1:7" x14ac:dyDescent="0.3">
      <c r="A121" s="5">
        <v>245125</v>
      </c>
      <c r="B121" s="10">
        <v>43480</v>
      </c>
      <c r="C121" s="5" t="s">
        <v>78</v>
      </c>
      <c r="D121" s="11">
        <v>745</v>
      </c>
      <c r="E121" s="11">
        <v>96.850000000000009</v>
      </c>
      <c r="F121" s="11">
        <v>50</v>
      </c>
      <c r="G121" s="11">
        <v>146.85000000000002</v>
      </c>
    </row>
    <row r="122" spans="1:7" x14ac:dyDescent="0.3">
      <c r="A122" s="5">
        <v>331548</v>
      </c>
      <c r="B122" s="10">
        <v>43489</v>
      </c>
      <c r="C122" s="5" t="s">
        <v>79</v>
      </c>
      <c r="D122" s="11">
        <v>497</v>
      </c>
      <c r="E122" s="11">
        <v>64.61</v>
      </c>
      <c r="F122" s="11">
        <v>0</v>
      </c>
      <c r="G122" s="11">
        <v>64.61</v>
      </c>
    </row>
    <row r="123" spans="1:7" x14ac:dyDescent="0.3">
      <c r="A123" s="5">
        <v>906625</v>
      </c>
      <c r="B123" s="10">
        <v>43482</v>
      </c>
      <c r="C123" s="5" t="s">
        <v>80</v>
      </c>
      <c r="D123" s="11">
        <v>476</v>
      </c>
      <c r="E123" s="11">
        <v>61.88</v>
      </c>
      <c r="F123" s="11">
        <v>50</v>
      </c>
      <c r="G123" s="11">
        <v>111.88</v>
      </c>
    </row>
    <row r="124" spans="1:7" x14ac:dyDescent="0.3">
      <c r="A124" s="5">
        <v>120620</v>
      </c>
      <c r="B124" s="10">
        <v>43482</v>
      </c>
      <c r="C124" s="5" t="s">
        <v>81</v>
      </c>
      <c r="D124" s="11">
        <v>811</v>
      </c>
      <c r="E124" s="11">
        <v>105.43</v>
      </c>
      <c r="F124" s="11">
        <v>25</v>
      </c>
      <c r="G124" s="11">
        <v>130.43</v>
      </c>
    </row>
    <row r="125" spans="1:7" x14ac:dyDescent="0.3">
      <c r="A125" s="5">
        <v>698862</v>
      </c>
      <c r="B125" s="10">
        <v>43494</v>
      </c>
      <c r="C125" s="5" t="s">
        <v>82</v>
      </c>
      <c r="D125" s="11">
        <v>611</v>
      </c>
      <c r="E125" s="11">
        <v>79.430000000000007</v>
      </c>
      <c r="F125" s="11">
        <v>50</v>
      </c>
      <c r="G125" s="11">
        <v>129.43</v>
      </c>
    </row>
    <row r="126" spans="1:7" x14ac:dyDescent="0.3">
      <c r="A126" s="5">
        <v>543738</v>
      </c>
      <c r="B126" s="10">
        <v>43467</v>
      </c>
      <c r="C126" s="5" t="s">
        <v>83</v>
      </c>
      <c r="D126" s="11">
        <v>440</v>
      </c>
      <c r="E126" s="11">
        <v>57.2</v>
      </c>
      <c r="F126" s="11">
        <v>50</v>
      </c>
      <c r="G126" s="11">
        <v>107.2</v>
      </c>
    </row>
    <row r="127" spans="1:7" x14ac:dyDescent="0.3">
      <c r="A127" s="5">
        <v>642393</v>
      </c>
      <c r="B127" s="10">
        <v>43472</v>
      </c>
      <c r="C127" s="5" t="s">
        <v>84</v>
      </c>
      <c r="D127" s="11">
        <v>397</v>
      </c>
      <c r="E127" s="11">
        <v>31.76</v>
      </c>
      <c r="F127" s="11">
        <v>0</v>
      </c>
      <c r="G127" s="11">
        <v>31.76</v>
      </c>
    </row>
    <row r="128" spans="1:7" x14ac:dyDescent="0.3">
      <c r="A128" s="5">
        <v>641484</v>
      </c>
      <c r="B128" s="10">
        <v>43484</v>
      </c>
      <c r="C128" s="5" t="s">
        <v>85</v>
      </c>
      <c r="D128" s="11">
        <v>589</v>
      </c>
      <c r="E128" s="11">
        <v>76.570000000000007</v>
      </c>
      <c r="F128" s="11">
        <v>25</v>
      </c>
      <c r="G128" s="11">
        <v>101.57000000000001</v>
      </c>
    </row>
    <row r="129" spans="1:7" x14ac:dyDescent="0.3">
      <c r="A129" s="5">
        <v>433408</v>
      </c>
      <c r="B129" s="10">
        <v>43478</v>
      </c>
      <c r="C129" s="5" t="s">
        <v>86</v>
      </c>
      <c r="D129" s="11">
        <v>660</v>
      </c>
      <c r="E129" s="11">
        <v>85.8</v>
      </c>
      <c r="F129" s="11">
        <v>50</v>
      </c>
      <c r="G129" s="11">
        <v>135.80000000000001</v>
      </c>
    </row>
    <row r="130" spans="1:7" x14ac:dyDescent="0.3">
      <c r="A130" s="5">
        <v>193140</v>
      </c>
      <c r="B130" s="10">
        <v>43494</v>
      </c>
      <c r="C130" s="5" t="s">
        <v>87</v>
      </c>
      <c r="D130" s="11">
        <v>828</v>
      </c>
      <c r="E130" s="11">
        <v>107.64</v>
      </c>
      <c r="F130" s="11">
        <v>0</v>
      </c>
      <c r="G130" s="11">
        <v>107.64</v>
      </c>
    </row>
    <row r="131" spans="1:7" x14ac:dyDescent="0.3">
      <c r="A131" s="5">
        <v>844339</v>
      </c>
      <c r="B131" s="10">
        <v>43489</v>
      </c>
      <c r="C131" s="5" t="s">
        <v>88</v>
      </c>
      <c r="D131" s="11">
        <v>203</v>
      </c>
      <c r="E131" s="11">
        <v>16.240000000000002</v>
      </c>
      <c r="F131" s="11">
        <v>50</v>
      </c>
      <c r="G131" s="11">
        <v>66.240000000000009</v>
      </c>
    </row>
    <row r="132" spans="1:7" x14ac:dyDescent="0.3">
      <c r="A132" s="5">
        <v>831831</v>
      </c>
      <c r="B132" s="10">
        <v>43477</v>
      </c>
      <c r="C132" s="5" t="s">
        <v>89</v>
      </c>
      <c r="D132" s="11">
        <v>168</v>
      </c>
      <c r="E132" s="11">
        <v>8.4</v>
      </c>
      <c r="F132" s="11">
        <v>25</v>
      </c>
      <c r="G132" s="11">
        <v>33.4</v>
      </c>
    </row>
    <row r="133" spans="1:7" x14ac:dyDescent="0.3">
      <c r="A133" s="5">
        <v>886995</v>
      </c>
      <c r="B133" s="10">
        <v>43489</v>
      </c>
      <c r="C133" s="5" t="s">
        <v>90</v>
      </c>
      <c r="D133" s="11">
        <v>233</v>
      </c>
      <c r="E133" s="11">
        <v>18.64</v>
      </c>
      <c r="F133" s="11">
        <v>0</v>
      </c>
      <c r="G133" s="11">
        <v>18.64</v>
      </c>
    </row>
    <row r="134" spans="1:7" x14ac:dyDescent="0.3">
      <c r="A134" s="5">
        <v>654070</v>
      </c>
      <c r="B134" s="10">
        <v>43467</v>
      </c>
      <c r="C134" s="5" t="s">
        <v>91</v>
      </c>
      <c r="D134" s="11">
        <v>716</v>
      </c>
      <c r="E134" s="11">
        <v>93.08</v>
      </c>
      <c r="F134" s="11">
        <v>0</v>
      </c>
      <c r="G134" s="11">
        <v>93.08</v>
      </c>
    </row>
    <row r="135" spans="1:7" x14ac:dyDescent="0.3">
      <c r="A135" s="5">
        <v>964909</v>
      </c>
      <c r="B135" s="10">
        <v>43491</v>
      </c>
      <c r="C135" s="5" t="s">
        <v>92</v>
      </c>
      <c r="D135" s="11">
        <v>496</v>
      </c>
      <c r="E135" s="11">
        <v>64.48</v>
      </c>
      <c r="F135" s="11">
        <v>50</v>
      </c>
      <c r="G135" s="11">
        <v>114.48</v>
      </c>
    </row>
    <row r="136" spans="1:7" x14ac:dyDescent="0.3">
      <c r="A136" s="5">
        <v>926747</v>
      </c>
      <c r="B136" s="10">
        <v>43470</v>
      </c>
      <c r="C136" s="5" t="s">
        <v>93</v>
      </c>
      <c r="D136" s="11">
        <v>627</v>
      </c>
      <c r="E136" s="11">
        <v>81.510000000000005</v>
      </c>
      <c r="F136" s="11">
        <v>0</v>
      </c>
      <c r="G136" s="11">
        <v>81.510000000000005</v>
      </c>
    </row>
    <row r="137" spans="1:7" x14ac:dyDescent="0.3">
      <c r="A137" s="5">
        <v>515590</v>
      </c>
      <c r="B137" s="10">
        <v>43467</v>
      </c>
      <c r="C137" s="5" t="s">
        <v>94</v>
      </c>
      <c r="D137" s="11">
        <v>457</v>
      </c>
      <c r="E137" s="11">
        <v>59.410000000000004</v>
      </c>
      <c r="F137" s="11">
        <v>50</v>
      </c>
      <c r="G137" s="11">
        <v>109.41</v>
      </c>
    </row>
    <row r="138" spans="1:7" x14ac:dyDescent="0.3">
      <c r="A138" s="5">
        <v>556707</v>
      </c>
      <c r="B138" s="10">
        <v>43474</v>
      </c>
      <c r="C138" s="5" t="s">
        <v>95</v>
      </c>
      <c r="D138" s="11">
        <v>697</v>
      </c>
      <c r="E138" s="11">
        <v>90.61</v>
      </c>
      <c r="F138" s="11">
        <v>50</v>
      </c>
      <c r="G138" s="11">
        <v>140.61000000000001</v>
      </c>
    </row>
    <row r="139" spans="1:7" x14ac:dyDescent="0.3">
      <c r="A139" s="5">
        <v>130716</v>
      </c>
      <c r="B139" s="10">
        <v>43482</v>
      </c>
      <c r="C139" s="5" t="s">
        <v>96</v>
      </c>
      <c r="D139" s="11">
        <v>519</v>
      </c>
      <c r="E139" s="11">
        <v>67.47</v>
      </c>
      <c r="F139" s="11">
        <v>0</v>
      </c>
      <c r="G139" s="11">
        <v>67.47</v>
      </c>
    </row>
    <row r="140" spans="1:7" x14ac:dyDescent="0.3">
      <c r="A140" s="5">
        <v>463965</v>
      </c>
      <c r="B140" s="10">
        <v>43473</v>
      </c>
      <c r="C140" s="5" t="s">
        <v>97</v>
      </c>
      <c r="D140" s="11">
        <v>290</v>
      </c>
      <c r="E140" s="11">
        <v>23.2</v>
      </c>
      <c r="F140" s="11">
        <v>25</v>
      </c>
      <c r="G140" s="11">
        <v>48.2</v>
      </c>
    </row>
    <row r="141" spans="1:7" x14ac:dyDescent="0.3">
      <c r="A141" s="5">
        <v>966769</v>
      </c>
      <c r="B141" s="10">
        <v>43468</v>
      </c>
      <c r="C141" s="5" t="s">
        <v>98</v>
      </c>
      <c r="D141" s="11">
        <v>539</v>
      </c>
      <c r="E141" s="11">
        <v>70.070000000000007</v>
      </c>
      <c r="F141" s="11">
        <v>50</v>
      </c>
      <c r="G141" s="11">
        <v>120.07000000000001</v>
      </c>
    </row>
    <row r="142" spans="1:7" x14ac:dyDescent="0.3">
      <c r="A142" s="5">
        <v>894381</v>
      </c>
      <c r="B142" s="10">
        <v>43473</v>
      </c>
      <c r="C142" s="5" t="s">
        <v>99</v>
      </c>
      <c r="D142" s="11">
        <v>487</v>
      </c>
      <c r="E142" s="11">
        <v>63.31</v>
      </c>
      <c r="F142" s="11">
        <v>25</v>
      </c>
      <c r="G142" s="11">
        <v>88.31</v>
      </c>
    </row>
    <row r="143" spans="1:7" x14ac:dyDescent="0.3">
      <c r="A143" s="5" t="s">
        <v>115</v>
      </c>
      <c r="D143" s="11">
        <v>64583</v>
      </c>
      <c r="E143" s="11">
        <v>7684.2300000000014</v>
      </c>
      <c r="F143" s="11">
        <v>2125</v>
      </c>
      <c r="G143" s="11">
        <v>9809.2300000000014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9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1.5546875" bestFit="1" customWidth="1"/>
    <col min="2" max="2" width="9.5546875" bestFit="1" customWidth="1"/>
    <col min="3" max="3" width="18.6640625" bestFit="1" customWidth="1"/>
    <col min="4" max="4" width="20.44140625" bestFit="1" customWidth="1"/>
    <col min="5" max="5" width="11" bestFit="1" customWidth="1"/>
    <col min="6" max="6" width="6.88671875" bestFit="1" customWidth="1"/>
    <col min="7" max="7" width="13.441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>
        <f ca="1">RANDBETWEEN(111111,999999)</f>
        <v>146796</v>
      </c>
      <c r="B2" s="2">
        <f ca="1">RANDBETWEEN(43466,43496)</f>
        <v>43483</v>
      </c>
      <c r="C2" s="2" t="s">
        <v>7</v>
      </c>
      <c r="D2" t="s">
        <v>8</v>
      </c>
      <c r="E2" s="1">
        <f ca="1">RANDBETWEEN(50,850)</f>
        <v>186</v>
      </c>
      <c r="F2" s="1">
        <f ca="1">CHOOSE(RANDBETWEEN(1,5),0,0,0,25,50)</f>
        <v>0</v>
      </c>
      <c r="G2" s="1">
        <f ca="1">VLOOKUP(Invoices[[#This Row],[Collected]],CommissionPercentages[#Data],3)*Invoices[[#This Row],[Collected]]</f>
        <v>9.3000000000000007</v>
      </c>
    </row>
    <row r="3" spans="1:7" x14ac:dyDescent="0.3">
      <c r="A3">
        <f t="shared" ref="A3:A66" ca="1" si="0">RANDBETWEEN(111111,999999)</f>
        <v>918466</v>
      </c>
      <c r="B3" s="2">
        <f t="shared" ref="B3:B66" ca="1" si="1">RANDBETWEEN(43466,43496)</f>
        <v>43488</v>
      </c>
      <c r="C3" s="2" t="s">
        <v>9</v>
      </c>
      <c r="D3" t="s">
        <v>10</v>
      </c>
      <c r="E3" s="1">
        <f t="shared" ref="E3:E66" ca="1" si="2">RANDBETWEEN(50,850)</f>
        <v>741</v>
      </c>
      <c r="F3" s="1">
        <f t="shared" ref="F3:F66" ca="1" si="3">CHOOSE(RANDBETWEEN(1,5),0,0,0,25,50)</f>
        <v>0</v>
      </c>
      <c r="G3" s="1">
        <f ca="1">VLOOKUP(Invoices[[#This Row],[Collected]],CommissionPercentages[#Data],3)*Invoices[[#This Row],[Collected]]</f>
        <v>96.33</v>
      </c>
    </row>
    <row r="4" spans="1:7" x14ac:dyDescent="0.3">
      <c r="A4">
        <f t="shared" ca="1" si="0"/>
        <v>285570</v>
      </c>
      <c r="B4" s="2">
        <f t="shared" ca="1" si="1"/>
        <v>43495</v>
      </c>
      <c r="C4" s="2" t="s">
        <v>11</v>
      </c>
      <c r="D4" t="s">
        <v>12</v>
      </c>
      <c r="E4" s="1">
        <f t="shared" ca="1" si="2"/>
        <v>770</v>
      </c>
      <c r="F4" s="1">
        <f t="shared" ca="1" si="3"/>
        <v>50</v>
      </c>
      <c r="G4" s="1">
        <f ca="1">VLOOKUP(Invoices[[#This Row],[Collected]],CommissionPercentages[#Data],3)*Invoices[[#This Row],[Collected]]</f>
        <v>100.10000000000001</v>
      </c>
    </row>
    <row r="5" spans="1:7" x14ac:dyDescent="0.3">
      <c r="A5">
        <f t="shared" ca="1" si="0"/>
        <v>531587</v>
      </c>
      <c r="B5" s="2">
        <f t="shared" ca="1" si="1"/>
        <v>43494</v>
      </c>
      <c r="C5" s="2" t="s">
        <v>13</v>
      </c>
      <c r="D5" t="s">
        <v>14</v>
      </c>
      <c r="E5" s="1">
        <f t="shared" ca="1" si="2"/>
        <v>550</v>
      </c>
      <c r="F5" s="1">
        <f t="shared" ca="1" si="3"/>
        <v>0</v>
      </c>
      <c r="G5" s="1">
        <f ca="1">VLOOKUP(Invoices[[#This Row],[Collected]],CommissionPercentages[#Data],3)*Invoices[[#This Row],[Collected]]</f>
        <v>71.5</v>
      </c>
    </row>
    <row r="6" spans="1:7" x14ac:dyDescent="0.3">
      <c r="A6">
        <f t="shared" ca="1" si="0"/>
        <v>596150</v>
      </c>
      <c r="B6" s="2">
        <f t="shared" ca="1" si="1"/>
        <v>43492</v>
      </c>
      <c r="C6" s="2" t="s">
        <v>15</v>
      </c>
      <c r="D6" t="s">
        <v>16</v>
      </c>
      <c r="E6" s="1">
        <f t="shared" ca="1" si="2"/>
        <v>188</v>
      </c>
      <c r="F6" s="1">
        <f t="shared" ca="1" si="3"/>
        <v>0</v>
      </c>
      <c r="G6" s="1">
        <f ca="1">VLOOKUP(Invoices[[#This Row],[Collected]],CommissionPercentages[#Data],3)*Invoices[[#This Row],[Collected]]</f>
        <v>9.4</v>
      </c>
    </row>
    <row r="7" spans="1:7" x14ac:dyDescent="0.3">
      <c r="A7">
        <f t="shared" ca="1" si="0"/>
        <v>627558</v>
      </c>
      <c r="B7" s="2">
        <f t="shared" ca="1" si="1"/>
        <v>43480</v>
      </c>
      <c r="C7" s="2" t="s">
        <v>7</v>
      </c>
      <c r="D7" t="s">
        <v>17</v>
      </c>
      <c r="E7" s="1">
        <f t="shared" ca="1" si="2"/>
        <v>359</v>
      </c>
      <c r="F7" s="1">
        <f t="shared" ca="1" si="3"/>
        <v>0</v>
      </c>
      <c r="G7" s="1">
        <f ca="1">VLOOKUP(Invoices[[#This Row],[Collected]],CommissionPercentages[#Data],3)*Invoices[[#This Row],[Collected]]</f>
        <v>28.72</v>
      </c>
    </row>
    <row r="8" spans="1:7" x14ac:dyDescent="0.3">
      <c r="A8">
        <f t="shared" ca="1" si="0"/>
        <v>444758</v>
      </c>
      <c r="B8" s="2">
        <f t="shared" ca="1" si="1"/>
        <v>43468</v>
      </c>
      <c r="C8" s="2" t="s">
        <v>9</v>
      </c>
      <c r="D8" t="s">
        <v>18</v>
      </c>
      <c r="E8" s="1">
        <f t="shared" ca="1" si="2"/>
        <v>665</v>
      </c>
      <c r="F8" s="1">
        <f t="shared" ca="1" si="3"/>
        <v>0</v>
      </c>
      <c r="G8" s="1">
        <f ca="1">VLOOKUP(Invoices[[#This Row],[Collected]],CommissionPercentages[#Data],3)*Invoices[[#This Row],[Collected]]</f>
        <v>86.45</v>
      </c>
    </row>
    <row r="9" spans="1:7" x14ac:dyDescent="0.3">
      <c r="A9">
        <f t="shared" ca="1" si="0"/>
        <v>387313</v>
      </c>
      <c r="B9" s="2">
        <f t="shared" ca="1" si="1"/>
        <v>43467</v>
      </c>
      <c r="C9" s="2" t="s">
        <v>11</v>
      </c>
      <c r="D9" t="s">
        <v>19</v>
      </c>
      <c r="E9" s="1">
        <f t="shared" ca="1" si="2"/>
        <v>719</v>
      </c>
      <c r="F9" s="1">
        <f t="shared" ca="1" si="3"/>
        <v>50</v>
      </c>
      <c r="G9" s="1">
        <f ca="1">VLOOKUP(Invoices[[#This Row],[Collected]],CommissionPercentages[#Data],3)*Invoices[[#This Row],[Collected]]</f>
        <v>93.47</v>
      </c>
    </row>
    <row r="10" spans="1:7" x14ac:dyDescent="0.3">
      <c r="A10">
        <f t="shared" ca="1" si="0"/>
        <v>159049</v>
      </c>
      <c r="B10" s="2">
        <f t="shared" ca="1" si="1"/>
        <v>43487</v>
      </c>
      <c r="C10" s="2" t="s">
        <v>13</v>
      </c>
      <c r="D10" t="s">
        <v>20</v>
      </c>
      <c r="E10" s="1">
        <f t="shared" ca="1" si="2"/>
        <v>467</v>
      </c>
      <c r="F10" s="1">
        <f t="shared" ca="1" si="3"/>
        <v>25</v>
      </c>
      <c r="G10" s="1">
        <f ca="1">VLOOKUP(Invoices[[#This Row],[Collected]],CommissionPercentages[#Data],3)*Invoices[[#This Row],[Collected]]</f>
        <v>60.71</v>
      </c>
    </row>
    <row r="11" spans="1:7" x14ac:dyDescent="0.3">
      <c r="A11">
        <f t="shared" ca="1" si="0"/>
        <v>260214</v>
      </c>
      <c r="B11" s="2">
        <f t="shared" ca="1" si="1"/>
        <v>43470</v>
      </c>
      <c r="C11" s="2" t="s">
        <v>15</v>
      </c>
      <c r="D11" t="s">
        <v>21</v>
      </c>
      <c r="E11" s="1">
        <f t="shared" ca="1" si="2"/>
        <v>173</v>
      </c>
      <c r="F11" s="1">
        <f t="shared" ca="1" si="3"/>
        <v>0</v>
      </c>
      <c r="G11" s="1">
        <f ca="1">VLOOKUP(Invoices[[#This Row],[Collected]],CommissionPercentages[#Data],3)*Invoices[[#This Row],[Collected]]</f>
        <v>8.65</v>
      </c>
    </row>
    <row r="12" spans="1:7" x14ac:dyDescent="0.3">
      <c r="A12">
        <f t="shared" ca="1" si="0"/>
        <v>829283</v>
      </c>
      <c r="B12" s="2">
        <f t="shared" ca="1" si="1"/>
        <v>43492</v>
      </c>
      <c r="C12" s="2" t="s">
        <v>7</v>
      </c>
      <c r="D12" t="s">
        <v>22</v>
      </c>
      <c r="E12" s="1">
        <f t="shared" ca="1" si="2"/>
        <v>278</v>
      </c>
      <c r="F12" s="1">
        <f t="shared" ca="1" si="3"/>
        <v>0</v>
      </c>
      <c r="G12" s="1">
        <f ca="1">VLOOKUP(Invoices[[#This Row],[Collected]],CommissionPercentages[#Data],3)*Invoices[[#This Row],[Collected]]</f>
        <v>22.240000000000002</v>
      </c>
    </row>
    <row r="13" spans="1:7" x14ac:dyDescent="0.3">
      <c r="A13">
        <f t="shared" ca="1" si="0"/>
        <v>740429</v>
      </c>
      <c r="B13" s="2">
        <f t="shared" ca="1" si="1"/>
        <v>43480</v>
      </c>
      <c r="C13" s="2" t="s">
        <v>9</v>
      </c>
      <c r="D13" t="s">
        <v>23</v>
      </c>
      <c r="E13" s="1">
        <f t="shared" ca="1" si="2"/>
        <v>596</v>
      </c>
      <c r="F13" s="1">
        <f t="shared" ca="1" si="3"/>
        <v>0</v>
      </c>
      <c r="G13" s="1">
        <f ca="1">VLOOKUP(Invoices[[#This Row],[Collected]],CommissionPercentages[#Data],3)*Invoices[[#This Row],[Collected]]</f>
        <v>77.48</v>
      </c>
    </row>
    <row r="14" spans="1:7" x14ac:dyDescent="0.3">
      <c r="A14">
        <f t="shared" ca="1" si="0"/>
        <v>888864</v>
      </c>
      <c r="B14" s="2">
        <f t="shared" ca="1" si="1"/>
        <v>43488</v>
      </c>
      <c r="C14" s="2" t="s">
        <v>11</v>
      </c>
      <c r="D14" t="s">
        <v>24</v>
      </c>
      <c r="E14" s="1">
        <f t="shared" ca="1" si="2"/>
        <v>745</v>
      </c>
      <c r="F14" s="1">
        <f t="shared" ca="1" si="3"/>
        <v>25</v>
      </c>
      <c r="G14" s="1">
        <f ca="1">VLOOKUP(Invoices[[#This Row],[Collected]],CommissionPercentages[#Data],3)*Invoices[[#This Row],[Collected]]</f>
        <v>96.850000000000009</v>
      </c>
    </row>
    <row r="15" spans="1:7" x14ac:dyDescent="0.3">
      <c r="A15">
        <f t="shared" ca="1" si="0"/>
        <v>873737</v>
      </c>
      <c r="B15" s="2">
        <f t="shared" ca="1" si="1"/>
        <v>43489</v>
      </c>
      <c r="C15" s="2" t="s">
        <v>13</v>
      </c>
      <c r="D15" t="s">
        <v>25</v>
      </c>
      <c r="E15" s="1">
        <f t="shared" ca="1" si="2"/>
        <v>831</v>
      </c>
      <c r="F15" s="1">
        <f t="shared" ca="1" si="3"/>
        <v>25</v>
      </c>
      <c r="G15" s="1">
        <f ca="1">VLOOKUP(Invoices[[#This Row],[Collected]],CommissionPercentages[#Data],3)*Invoices[[#This Row],[Collected]]</f>
        <v>108.03</v>
      </c>
    </row>
    <row r="16" spans="1:7" x14ac:dyDescent="0.3">
      <c r="A16">
        <f t="shared" ca="1" si="0"/>
        <v>127154</v>
      </c>
      <c r="B16" s="2">
        <f t="shared" ca="1" si="1"/>
        <v>43487</v>
      </c>
      <c r="C16" s="2" t="s">
        <v>15</v>
      </c>
      <c r="D16" t="s">
        <v>26</v>
      </c>
      <c r="E16" s="1">
        <f t="shared" ca="1" si="2"/>
        <v>711</v>
      </c>
      <c r="F16" s="1">
        <f t="shared" ca="1" si="3"/>
        <v>50</v>
      </c>
      <c r="G16" s="1">
        <f ca="1">VLOOKUP(Invoices[[#This Row],[Collected]],CommissionPercentages[#Data],3)*Invoices[[#This Row],[Collected]]</f>
        <v>92.43</v>
      </c>
    </row>
    <row r="17" spans="1:7" x14ac:dyDescent="0.3">
      <c r="A17">
        <f t="shared" ca="1" si="0"/>
        <v>213543</v>
      </c>
      <c r="B17" s="2">
        <f t="shared" ca="1" si="1"/>
        <v>43496</v>
      </c>
      <c r="C17" s="2" t="s">
        <v>7</v>
      </c>
      <c r="D17" t="s">
        <v>27</v>
      </c>
      <c r="E17" s="1">
        <f t="shared" ca="1" si="2"/>
        <v>373</v>
      </c>
      <c r="F17" s="1">
        <f t="shared" ca="1" si="3"/>
        <v>0</v>
      </c>
      <c r="G17" s="1">
        <f ca="1">VLOOKUP(Invoices[[#This Row],[Collected]],CommissionPercentages[#Data],3)*Invoices[[#This Row],[Collected]]</f>
        <v>29.84</v>
      </c>
    </row>
    <row r="18" spans="1:7" x14ac:dyDescent="0.3">
      <c r="A18">
        <f t="shared" ca="1" si="0"/>
        <v>994586</v>
      </c>
      <c r="B18" s="2">
        <f t="shared" ca="1" si="1"/>
        <v>43476</v>
      </c>
      <c r="C18" s="2" t="s">
        <v>9</v>
      </c>
      <c r="D18" t="s">
        <v>28</v>
      </c>
      <c r="E18" s="1">
        <f t="shared" ca="1" si="2"/>
        <v>395</v>
      </c>
      <c r="F18" s="1">
        <f t="shared" ca="1" si="3"/>
        <v>0</v>
      </c>
      <c r="G18" s="1">
        <f ca="1">VLOOKUP(Invoices[[#This Row],[Collected]],CommissionPercentages[#Data],3)*Invoices[[#This Row],[Collected]]</f>
        <v>31.6</v>
      </c>
    </row>
    <row r="19" spans="1:7" x14ac:dyDescent="0.3">
      <c r="A19">
        <f t="shared" ca="1" si="0"/>
        <v>532643</v>
      </c>
      <c r="B19" s="2">
        <f t="shared" ca="1" si="1"/>
        <v>43486</v>
      </c>
      <c r="C19" s="2" t="s">
        <v>11</v>
      </c>
      <c r="D19" t="s">
        <v>29</v>
      </c>
      <c r="E19" s="1">
        <f t="shared" ca="1" si="2"/>
        <v>820</v>
      </c>
      <c r="F19" s="1">
        <f t="shared" ca="1" si="3"/>
        <v>25</v>
      </c>
      <c r="G19" s="1">
        <f ca="1">VLOOKUP(Invoices[[#This Row],[Collected]],CommissionPercentages[#Data],3)*Invoices[[#This Row],[Collected]]</f>
        <v>106.60000000000001</v>
      </c>
    </row>
    <row r="20" spans="1:7" x14ac:dyDescent="0.3">
      <c r="A20">
        <f t="shared" ca="1" si="0"/>
        <v>274613</v>
      </c>
      <c r="B20" s="2">
        <f t="shared" ca="1" si="1"/>
        <v>43481</v>
      </c>
      <c r="C20" s="2" t="s">
        <v>13</v>
      </c>
      <c r="D20" t="s">
        <v>30</v>
      </c>
      <c r="E20" s="1">
        <f t="shared" ca="1" si="2"/>
        <v>259</v>
      </c>
      <c r="F20" s="1">
        <f t="shared" ca="1" si="3"/>
        <v>0</v>
      </c>
      <c r="G20" s="1">
        <f ca="1">VLOOKUP(Invoices[[#This Row],[Collected]],CommissionPercentages[#Data],3)*Invoices[[#This Row],[Collected]]</f>
        <v>20.72</v>
      </c>
    </row>
    <row r="21" spans="1:7" x14ac:dyDescent="0.3">
      <c r="A21">
        <f t="shared" ca="1" si="0"/>
        <v>756448</v>
      </c>
      <c r="B21" s="2">
        <f t="shared" ca="1" si="1"/>
        <v>43485</v>
      </c>
      <c r="C21" s="2" t="s">
        <v>15</v>
      </c>
      <c r="D21" t="s">
        <v>31</v>
      </c>
      <c r="E21" s="1">
        <f t="shared" ca="1" si="2"/>
        <v>666</v>
      </c>
      <c r="F21" s="1">
        <f t="shared" ca="1" si="3"/>
        <v>0</v>
      </c>
      <c r="G21" s="1">
        <f ca="1">VLOOKUP(Invoices[[#This Row],[Collected]],CommissionPercentages[#Data],3)*Invoices[[#This Row],[Collected]]</f>
        <v>86.58</v>
      </c>
    </row>
    <row r="22" spans="1:7" x14ac:dyDescent="0.3">
      <c r="A22">
        <f t="shared" ca="1" si="0"/>
        <v>148551</v>
      </c>
      <c r="B22" s="2">
        <f t="shared" ca="1" si="1"/>
        <v>43475</v>
      </c>
      <c r="C22" s="2" t="s">
        <v>7</v>
      </c>
      <c r="D22" t="s">
        <v>32</v>
      </c>
      <c r="E22" s="1">
        <f t="shared" ca="1" si="2"/>
        <v>370</v>
      </c>
      <c r="F22" s="1">
        <f t="shared" ca="1" si="3"/>
        <v>0</v>
      </c>
      <c r="G22" s="1">
        <f ca="1">VLOOKUP(Invoices[[#This Row],[Collected]],CommissionPercentages[#Data],3)*Invoices[[#This Row],[Collected]]</f>
        <v>29.6</v>
      </c>
    </row>
    <row r="23" spans="1:7" x14ac:dyDescent="0.3">
      <c r="A23">
        <f t="shared" ca="1" si="0"/>
        <v>280819</v>
      </c>
      <c r="B23" s="2">
        <f t="shared" ca="1" si="1"/>
        <v>43485</v>
      </c>
      <c r="C23" s="2" t="s">
        <v>9</v>
      </c>
      <c r="D23" t="s">
        <v>33</v>
      </c>
      <c r="E23" s="1">
        <f t="shared" ca="1" si="2"/>
        <v>160</v>
      </c>
      <c r="F23" s="1">
        <f t="shared" ca="1" si="3"/>
        <v>0</v>
      </c>
      <c r="G23" s="1">
        <f ca="1">VLOOKUP(Invoices[[#This Row],[Collected]],CommissionPercentages[#Data],3)*Invoices[[#This Row],[Collected]]</f>
        <v>8</v>
      </c>
    </row>
    <row r="24" spans="1:7" x14ac:dyDescent="0.3">
      <c r="A24">
        <f t="shared" ca="1" si="0"/>
        <v>405581</v>
      </c>
      <c r="B24" s="2">
        <f t="shared" ca="1" si="1"/>
        <v>43466</v>
      </c>
      <c r="C24" s="2" t="s">
        <v>11</v>
      </c>
      <c r="D24" t="s">
        <v>34</v>
      </c>
      <c r="E24" s="1">
        <f t="shared" ca="1" si="2"/>
        <v>284</v>
      </c>
      <c r="F24" s="1">
        <f t="shared" ca="1" si="3"/>
        <v>50</v>
      </c>
      <c r="G24" s="1">
        <f ca="1">VLOOKUP(Invoices[[#This Row],[Collected]],CommissionPercentages[#Data],3)*Invoices[[#This Row],[Collected]]</f>
        <v>22.72</v>
      </c>
    </row>
    <row r="25" spans="1:7" x14ac:dyDescent="0.3">
      <c r="A25">
        <f t="shared" ca="1" si="0"/>
        <v>408791</v>
      </c>
      <c r="B25" s="2">
        <f t="shared" ca="1" si="1"/>
        <v>43468</v>
      </c>
      <c r="C25" s="2" t="s">
        <v>13</v>
      </c>
      <c r="D25" t="s">
        <v>35</v>
      </c>
      <c r="E25" s="1">
        <f t="shared" ca="1" si="2"/>
        <v>59</v>
      </c>
      <c r="F25" s="1">
        <f t="shared" ca="1" si="3"/>
        <v>50</v>
      </c>
      <c r="G25" s="1">
        <f ca="1">VLOOKUP(Invoices[[#This Row],[Collected]],CommissionPercentages[#Data],3)*Invoices[[#This Row],[Collected]]</f>
        <v>2.95</v>
      </c>
    </row>
    <row r="26" spans="1:7" x14ac:dyDescent="0.3">
      <c r="A26">
        <f t="shared" ca="1" si="0"/>
        <v>762983</v>
      </c>
      <c r="B26" s="2">
        <f t="shared" ca="1" si="1"/>
        <v>43467</v>
      </c>
      <c r="C26" s="2" t="s">
        <v>15</v>
      </c>
      <c r="D26" t="s">
        <v>36</v>
      </c>
      <c r="E26" s="1">
        <f t="shared" ca="1" si="2"/>
        <v>547</v>
      </c>
      <c r="F26" s="1">
        <f t="shared" ca="1" si="3"/>
        <v>50</v>
      </c>
      <c r="G26" s="1">
        <f ca="1">VLOOKUP(Invoices[[#This Row],[Collected]],CommissionPercentages[#Data],3)*Invoices[[#This Row],[Collected]]</f>
        <v>71.11</v>
      </c>
    </row>
    <row r="27" spans="1:7" x14ac:dyDescent="0.3">
      <c r="A27">
        <f t="shared" ca="1" si="0"/>
        <v>280551</v>
      </c>
      <c r="B27" s="2">
        <f t="shared" ca="1" si="1"/>
        <v>43471</v>
      </c>
      <c r="C27" s="2" t="s">
        <v>7</v>
      </c>
      <c r="D27" t="s">
        <v>37</v>
      </c>
      <c r="E27" s="1">
        <f t="shared" ca="1" si="2"/>
        <v>487</v>
      </c>
      <c r="F27" s="1">
        <f t="shared" ca="1" si="3"/>
        <v>0</v>
      </c>
      <c r="G27" s="1">
        <f ca="1">VLOOKUP(Invoices[[#This Row],[Collected]],CommissionPercentages[#Data],3)*Invoices[[#This Row],[Collected]]</f>
        <v>63.31</v>
      </c>
    </row>
    <row r="28" spans="1:7" x14ac:dyDescent="0.3">
      <c r="A28">
        <f t="shared" ca="1" si="0"/>
        <v>979359</v>
      </c>
      <c r="B28" s="2">
        <f t="shared" ca="1" si="1"/>
        <v>43468</v>
      </c>
      <c r="C28" s="2" t="s">
        <v>9</v>
      </c>
      <c r="D28" t="s">
        <v>38</v>
      </c>
      <c r="E28" s="1">
        <f t="shared" ca="1" si="2"/>
        <v>112</v>
      </c>
      <c r="F28" s="1">
        <f t="shared" ca="1" si="3"/>
        <v>25</v>
      </c>
      <c r="G28" s="1">
        <f ca="1">VLOOKUP(Invoices[[#This Row],[Collected]],CommissionPercentages[#Data],3)*Invoices[[#This Row],[Collected]]</f>
        <v>5.6000000000000005</v>
      </c>
    </row>
    <row r="29" spans="1:7" x14ac:dyDescent="0.3">
      <c r="A29">
        <f t="shared" ca="1" si="0"/>
        <v>719647</v>
      </c>
      <c r="B29" s="2">
        <f t="shared" ca="1" si="1"/>
        <v>43473</v>
      </c>
      <c r="C29" s="2" t="s">
        <v>11</v>
      </c>
      <c r="D29" t="s">
        <v>39</v>
      </c>
      <c r="E29" s="1">
        <f t="shared" ca="1" si="2"/>
        <v>849</v>
      </c>
      <c r="F29" s="1">
        <f t="shared" ca="1" si="3"/>
        <v>25</v>
      </c>
      <c r="G29" s="1">
        <f ca="1">VLOOKUP(Invoices[[#This Row],[Collected]],CommissionPercentages[#Data],3)*Invoices[[#This Row],[Collected]]</f>
        <v>110.37</v>
      </c>
    </row>
    <row r="30" spans="1:7" x14ac:dyDescent="0.3">
      <c r="A30">
        <f t="shared" ca="1" si="0"/>
        <v>985071</v>
      </c>
      <c r="B30" s="2">
        <f t="shared" ca="1" si="1"/>
        <v>43475</v>
      </c>
      <c r="C30" s="2" t="s">
        <v>13</v>
      </c>
      <c r="D30" t="s">
        <v>40</v>
      </c>
      <c r="E30" s="1">
        <f t="shared" ca="1" si="2"/>
        <v>106</v>
      </c>
      <c r="F30" s="1">
        <f t="shared" ca="1" si="3"/>
        <v>0</v>
      </c>
      <c r="G30" s="1">
        <f ca="1">VLOOKUP(Invoices[[#This Row],[Collected]],CommissionPercentages[#Data],3)*Invoices[[#This Row],[Collected]]</f>
        <v>5.3000000000000007</v>
      </c>
    </row>
    <row r="31" spans="1:7" x14ac:dyDescent="0.3">
      <c r="A31">
        <f t="shared" ca="1" si="0"/>
        <v>823956</v>
      </c>
      <c r="B31" s="2">
        <f t="shared" ca="1" si="1"/>
        <v>43489</v>
      </c>
      <c r="C31" s="2" t="s">
        <v>15</v>
      </c>
      <c r="D31" t="s">
        <v>41</v>
      </c>
      <c r="E31" s="1">
        <f t="shared" ca="1" si="2"/>
        <v>247</v>
      </c>
      <c r="F31" s="1">
        <f t="shared" ca="1" si="3"/>
        <v>0</v>
      </c>
      <c r="G31" s="1">
        <f ca="1">VLOOKUP(Invoices[[#This Row],[Collected]],CommissionPercentages[#Data],3)*Invoices[[#This Row],[Collected]]</f>
        <v>19.760000000000002</v>
      </c>
    </row>
    <row r="32" spans="1:7" x14ac:dyDescent="0.3">
      <c r="A32">
        <f t="shared" ca="1" si="0"/>
        <v>389875</v>
      </c>
      <c r="B32" s="2">
        <f t="shared" ca="1" si="1"/>
        <v>43492</v>
      </c>
      <c r="C32" s="2" t="s">
        <v>7</v>
      </c>
      <c r="D32" t="s">
        <v>42</v>
      </c>
      <c r="E32" s="1">
        <f t="shared" ca="1" si="2"/>
        <v>591</v>
      </c>
      <c r="F32" s="1">
        <f t="shared" ca="1" si="3"/>
        <v>50</v>
      </c>
      <c r="G32" s="1">
        <f ca="1">VLOOKUP(Invoices[[#This Row],[Collected]],CommissionPercentages[#Data],3)*Invoices[[#This Row],[Collected]]</f>
        <v>76.83</v>
      </c>
    </row>
    <row r="33" spans="1:7" x14ac:dyDescent="0.3">
      <c r="A33">
        <f t="shared" ca="1" si="0"/>
        <v>772437</v>
      </c>
      <c r="B33" s="2">
        <f t="shared" ca="1" si="1"/>
        <v>43490</v>
      </c>
      <c r="C33" s="2" t="s">
        <v>9</v>
      </c>
      <c r="D33" t="s">
        <v>43</v>
      </c>
      <c r="E33" s="1">
        <f t="shared" ca="1" si="2"/>
        <v>60</v>
      </c>
      <c r="F33" s="1">
        <f t="shared" ca="1" si="3"/>
        <v>0</v>
      </c>
      <c r="G33" s="1">
        <f ca="1">VLOOKUP(Invoices[[#This Row],[Collected]],CommissionPercentages[#Data],3)*Invoices[[#This Row],[Collected]]</f>
        <v>3</v>
      </c>
    </row>
    <row r="34" spans="1:7" x14ac:dyDescent="0.3">
      <c r="A34">
        <f t="shared" ca="1" si="0"/>
        <v>210724</v>
      </c>
      <c r="B34" s="2">
        <f t="shared" ca="1" si="1"/>
        <v>43487</v>
      </c>
      <c r="C34" s="2" t="s">
        <v>11</v>
      </c>
      <c r="D34" t="s">
        <v>44</v>
      </c>
      <c r="E34" s="1">
        <f t="shared" ca="1" si="2"/>
        <v>582</v>
      </c>
      <c r="F34" s="1">
        <f t="shared" ca="1" si="3"/>
        <v>25</v>
      </c>
      <c r="G34" s="1">
        <f ca="1">VLOOKUP(Invoices[[#This Row],[Collected]],CommissionPercentages[#Data],3)*Invoices[[#This Row],[Collected]]</f>
        <v>75.66</v>
      </c>
    </row>
    <row r="35" spans="1:7" x14ac:dyDescent="0.3">
      <c r="A35">
        <f t="shared" ca="1" si="0"/>
        <v>803058</v>
      </c>
      <c r="B35" s="2">
        <f t="shared" ca="1" si="1"/>
        <v>43472</v>
      </c>
      <c r="C35" s="2" t="s">
        <v>13</v>
      </c>
      <c r="D35" t="s">
        <v>45</v>
      </c>
      <c r="E35" s="1">
        <f t="shared" ca="1" si="2"/>
        <v>588</v>
      </c>
      <c r="F35" s="1">
        <f t="shared" ca="1" si="3"/>
        <v>25</v>
      </c>
      <c r="G35" s="1">
        <f ca="1">VLOOKUP(Invoices[[#This Row],[Collected]],CommissionPercentages[#Data],3)*Invoices[[#This Row],[Collected]]</f>
        <v>76.44</v>
      </c>
    </row>
    <row r="36" spans="1:7" x14ac:dyDescent="0.3">
      <c r="A36">
        <f t="shared" ca="1" si="0"/>
        <v>557284</v>
      </c>
      <c r="B36" s="2">
        <f t="shared" ca="1" si="1"/>
        <v>43487</v>
      </c>
      <c r="C36" s="2" t="s">
        <v>15</v>
      </c>
      <c r="D36" t="s">
        <v>46</v>
      </c>
      <c r="E36" s="1">
        <f t="shared" ca="1" si="2"/>
        <v>770</v>
      </c>
      <c r="F36" s="1">
        <f t="shared" ca="1" si="3"/>
        <v>0</v>
      </c>
      <c r="G36" s="1">
        <f ca="1">VLOOKUP(Invoices[[#This Row],[Collected]],CommissionPercentages[#Data],3)*Invoices[[#This Row],[Collected]]</f>
        <v>100.10000000000001</v>
      </c>
    </row>
    <row r="37" spans="1:7" x14ac:dyDescent="0.3">
      <c r="A37">
        <f t="shared" ca="1" si="0"/>
        <v>705345</v>
      </c>
      <c r="B37" s="2">
        <f t="shared" ca="1" si="1"/>
        <v>43467</v>
      </c>
      <c r="C37" s="2" t="s">
        <v>7</v>
      </c>
      <c r="D37" t="s">
        <v>47</v>
      </c>
      <c r="E37" s="1">
        <f t="shared" ca="1" si="2"/>
        <v>797</v>
      </c>
      <c r="F37" s="1">
        <f t="shared" ca="1" si="3"/>
        <v>0</v>
      </c>
      <c r="G37" s="1">
        <f ca="1">VLOOKUP(Invoices[[#This Row],[Collected]],CommissionPercentages[#Data],3)*Invoices[[#This Row],[Collected]]</f>
        <v>103.61</v>
      </c>
    </row>
    <row r="38" spans="1:7" x14ac:dyDescent="0.3">
      <c r="A38">
        <f t="shared" ca="1" si="0"/>
        <v>724954</v>
      </c>
      <c r="B38" s="2">
        <f t="shared" ca="1" si="1"/>
        <v>43473</v>
      </c>
      <c r="C38" s="2" t="s">
        <v>9</v>
      </c>
      <c r="D38" t="s">
        <v>48</v>
      </c>
      <c r="E38" s="1">
        <f t="shared" ca="1" si="2"/>
        <v>699</v>
      </c>
      <c r="F38" s="1">
        <f t="shared" ca="1" si="3"/>
        <v>50</v>
      </c>
      <c r="G38" s="1">
        <f ca="1">VLOOKUP(Invoices[[#This Row],[Collected]],CommissionPercentages[#Data],3)*Invoices[[#This Row],[Collected]]</f>
        <v>90.87</v>
      </c>
    </row>
    <row r="39" spans="1:7" x14ac:dyDescent="0.3">
      <c r="A39">
        <f t="shared" ca="1" si="0"/>
        <v>344147</v>
      </c>
      <c r="B39" s="2">
        <f t="shared" ca="1" si="1"/>
        <v>43474</v>
      </c>
      <c r="C39" s="2" t="s">
        <v>11</v>
      </c>
      <c r="D39" t="s">
        <v>49</v>
      </c>
      <c r="E39" s="1">
        <f t="shared" ca="1" si="2"/>
        <v>657</v>
      </c>
      <c r="F39" s="1">
        <f t="shared" ca="1" si="3"/>
        <v>0</v>
      </c>
      <c r="G39" s="1">
        <f ca="1">VLOOKUP(Invoices[[#This Row],[Collected]],CommissionPercentages[#Data],3)*Invoices[[#This Row],[Collected]]</f>
        <v>85.41</v>
      </c>
    </row>
    <row r="40" spans="1:7" x14ac:dyDescent="0.3">
      <c r="A40">
        <f t="shared" ca="1" si="0"/>
        <v>128084</v>
      </c>
      <c r="B40" s="2">
        <f t="shared" ca="1" si="1"/>
        <v>43473</v>
      </c>
      <c r="C40" s="2" t="s">
        <v>13</v>
      </c>
      <c r="D40" t="s">
        <v>50</v>
      </c>
      <c r="E40" s="1">
        <f t="shared" ca="1" si="2"/>
        <v>361</v>
      </c>
      <c r="F40" s="1">
        <f t="shared" ca="1" si="3"/>
        <v>0</v>
      </c>
      <c r="G40" s="1">
        <f ca="1">VLOOKUP(Invoices[[#This Row],[Collected]],CommissionPercentages[#Data],3)*Invoices[[#This Row],[Collected]]</f>
        <v>28.88</v>
      </c>
    </row>
    <row r="41" spans="1:7" x14ac:dyDescent="0.3">
      <c r="A41">
        <f t="shared" ca="1" si="0"/>
        <v>804085</v>
      </c>
      <c r="B41" s="2">
        <f t="shared" ca="1" si="1"/>
        <v>43491</v>
      </c>
      <c r="C41" s="2" t="s">
        <v>15</v>
      </c>
      <c r="D41" t="s">
        <v>51</v>
      </c>
      <c r="E41" s="1">
        <f t="shared" ca="1" si="2"/>
        <v>404</v>
      </c>
      <c r="F41" s="1">
        <f t="shared" ca="1" si="3"/>
        <v>25</v>
      </c>
      <c r="G41" s="1">
        <f ca="1">VLOOKUP(Invoices[[#This Row],[Collected]],CommissionPercentages[#Data],3)*Invoices[[#This Row],[Collected]]</f>
        <v>52.52</v>
      </c>
    </row>
    <row r="42" spans="1:7" x14ac:dyDescent="0.3">
      <c r="A42">
        <f t="shared" ca="1" si="0"/>
        <v>587469</v>
      </c>
      <c r="B42" s="2">
        <f t="shared" ca="1" si="1"/>
        <v>43470</v>
      </c>
      <c r="C42" s="2" t="s">
        <v>7</v>
      </c>
      <c r="D42" t="s">
        <v>52</v>
      </c>
      <c r="E42" s="1">
        <f t="shared" ca="1" si="2"/>
        <v>574</v>
      </c>
      <c r="F42" s="1">
        <f t="shared" ca="1" si="3"/>
        <v>0</v>
      </c>
      <c r="G42" s="1">
        <f ca="1">VLOOKUP(Invoices[[#This Row],[Collected]],CommissionPercentages[#Data],3)*Invoices[[#This Row],[Collected]]</f>
        <v>74.62</v>
      </c>
    </row>
    <row r="43" spans="1:7" x14ac:dyDescent="0.3">
      <c r="A43">
        <f t="shared" ca="1" si="0"/>
        <v>545135</v>
      </c>
      <c r="B43" s="2">
        <f t="shared" ca="1" si="1"/>
        <v>43474</v>
      </c>
      <c r="C43" s="2" t="s">
        <v>9</v>
      </c>
      <c r="D43" t="s">
        <v>53</v>
      </c>
      <c r="E43" s="1">
        <f t="shared" ca="1" si="2"/>
        <v>704</v>
      </c>
      <c r="F43" s="1">
        <f t="shared" ca="1" si="3"/>
        <v>0</v>
      </c>
      <c r="G43" s="1">
        <f ca="1">VLOOKUP(Invoices[[#This Row],[Collected]],CommissionPercentages[#Data],3)*Invoices[[#This Row],[Collected]]</f>
        <v>91.52000000000001</v>
      </c>
    </row>
    <row r="44" spans="1:7" x14ac:dyDescent="0.3">
      <c r="A44">
        <f t="shared" ca="1" si="0"/>
        <v>878857</v>
      </c>
      <c r="B44" s="2">
        <f t="shared" ca="1" si="1"/>
        <v>43484</v>
      </c>
      <c r="C44" s="2" t="s">
        <v>11</v>
      </c>
      <c r="D44" t="s">
        <v>54</v>
      </c>
      <c r="E44" s="1">
        <f t="shared" ca="1" si="2"/>
        <v>828</v>
      </c>
      <c r="F44" s="1">
        <f t="shared" ca="1" si="3"/>
        <v>0</v>
      </c>
      <c r="G44" s="1">
        <f ca="1">VLOOKUP(Invoices[[#This Row],[Collected]],CommissionPercentages[#Data],3)*Invoices[[#This Row],[Collected]]</f>
        <v>107.64</v>
      </c>
    </row>
    <row r="45" spans="1:7" x14ac:dyDescent="0.3">
      <c r="A45">
        <f t="shared" ca="1" si="0"/>
        <v>170711</v>
      </c>
      <c r="B45" s="2">
        <f t="shared" ca="1" si="1"/>
        <v>43473</v>
      </c>
      <c r="C45" s="2" t="s">
        <v>13</v>
      </c>
      <c r="D45" t="s">
        <v>55</v>
      </c>
      <c r="E45" s="1">
        <f t="shared" ca="1" si="2"/>
        <v>65</v>
      </c>
      <c r="F45" s="1">
        <f t="shared" ca="1" si="3"/>
        <v>0</v>
      </c>
      <c r="G45" s="1">
        <f ca="1">VLOOKUP(Invoices[[#This Row],[Collected]],CommissionPercentages[#Data],3)*Invoices[[#This Row],[Collected]]</f>
        <v>3.25</v>
      </c>
    </row>
    <row r="46" spans="1:7" x14ac:dyDescent="0.3">
      <c r="A46">
        <f t="shared" ca="1" si="0"/>
        <v>199233</v>
      </c>
      <c r="B46" s="2">
        <f t="shared" ca="1" si="1"/>
        <v>43469</v>
      </c>
      <c r="C46" s="2" t="s">
        <v>15</v>
      </c>
      <c r="D46" t="s">
        <v>56</v>
      </c>
      <c r="E46" s="1">
        <f t="shared" ca="1" si="2"/>
        <v>442</v>
      </c>
      <c r="F46" s="1">
        <f t="shared" ca="1" si="3"/>
        <v>0</v>
      </c>
      <c r="G46" s="1">
        <f ca="1">VLOOKUP(Invoices[[#This Row],[Collected]],CommissionPercentages[#Data],3)*Invoices[[#This Row],[Collected]]</f>
        <v>57.46</v>
      </c>
    </row>
    <row r="47" spans="1:7" x14ac:dyDescent="0.3">
      <c r="A47">
        <f t="shared" ca="1" si="0"/>
        <v>858461</v>
      </c>
      <c r="B47" s="2">
        <f t="shared" ca="1" si="1"/>
        <v>43478</v>
      </c>
      <c r="C47" s="2" t="s">
        <v>7</v>
      </c>
      <c r="D47" t="s">
        <v>57</v>
      </c>
      <c r="E47" s="1">
        <f t="shared" ca="1" si="2"/>
        <v>68</v>
      </c>
      <c r="F47" s="1">
        <f t="shared" ca="1" si="3"/>
        <v>50</v>
      </c>
      <c r="G47" s="1">
        <f ca="1">VLOOKUP(Invoices[[#This Row],[Collected]],CommissionPercentages[#Data],3)*Invoices[[#This Row],[Collected]]</f>
        <v>3.4000000000000004</v>
      </c>
    </row>
    <row r="48" spans="1:7" x14ac:dyDescent="0.3">
      <c r="A48">
        <f t="shared" ca="1" si="0"/>
        <v>889785</v>
      </c>
      <c r="B48" s="2">
        <f t="shared" ca="1" si="1"/>
        <v>43467</v>
      </c>
      <c r="C48" s="2" t="s">
        <v>9</v>
      </c>
      <c r="D48" t="s">
        <v>58</v>
      </c>
      <c r="E48" s="1">
        <f t="shared" ca="1" si="2"/>
        <v>403</v>
      </c>
      <c r="F48" s="1">
        <f t="shared" ca="1" si="3"/>
        <v>0</v>
      </c>
      <c r="G48" s="1">
        <f ca="1">VLOOKUP(Invoices[[#This Row],[Collected]],CommissionPercentages[#Data],3)*Invoices[[#This Row],[Collected]]</f>
        <v>52.39</v>
      </c>
    </row>
    <row r="49" spans="1:7" x14ac:dyDescent="0.3">
      <c r="A49">
        <f t="shared" ca="1" si="0"/>
        <v>700297</v>
      </c>
      <c r="B49" s="2">
        <f t="shared" ca="1" si="1"/>
        <v>43488</v>
      </c>
      <c r="C49" s="2" t="s">
        <v>11</v>
      </c>
      <c r="D49" t="s">
        <v>59</v>
      </c>
      <c r="E49" s="1">
        <f t="shared" ca="1" si="2"/>
        <v>676</v>
      </c>
      <c r="F49" s="1">
        <f t="shared" ca="1" si="3"/>
        <v>25</v>
      </c>
      <c r="G49" s="1">
        <f ca="1">VLOOKUP(Invoices[[#This Row],[Collected]],CommissionPercentages[#Data],3)*Invoices[[#This Row],[Collected]]</f>
        <v>87.88000000000001</v>
      </c>
    </row>
    <row r="50" spans="1:7" x14ac:dyDescent="0.3">
      <c r="A50">
        <f t="shared" ca="1" si="0"/>
        <v>265675</v>
      </c>
      <c r="B50" s="2">
        <f t="shared" ca="1" si="1"/>
        <v>43481</v>
      </c>
      <c r="C50" s="2" t="s">
        <v>13</v>
      </c>
      <c r="D50" t="s">
        <v>60</v>
      </c>
      <c r="E50" s="1">
        <f t="shared" ca="1" si="2"/>
        <v>213</v>
      </c>
      <c r="F50" s="1">
        <f t="shared" ca="1" si="3"/>
        <v>0</v>
      </c>
      <c r="G50" s="1">
        <f ca="1">VLOOKUP(Invoices[[#This Row],[Collected]],CommissionPercentages[#Data],3)*Invoices[[#This Row],[Collected]]</f>
        <v>17.04</v>
      </c>
    </row>
    <row r="51" spans="1:7" x14ac:dyDescent="0.3">
      <c r="A51">
        <f t="shared" ca="1" si="0"/>
        <v>644709</v>
      </c>
      <c r="B51" s="2">
        <f t="shared" ca="1" si="1"/>
        <v>43472</v>
      </c>
      <c r="C51" s="2" t="s">
        <v>15</v>
      </c>
      <c r="D51" t="s">
        <v>61</v>
      </c>
      <c r="E51" s="1">
        <f t="shared" ca="1" si="2"/>
        <v>530</v>
      </c>
      <c r="F51" s="1">
        <f t="shared" ca="1" si="3"/>
        <v>50</v>
      </c>
      <c r="G51" s="1">
        <f ca="1">VLOOKUP(Invoices[[#This Row],[Collected]],CommissionPercentages[#Data],3)*Invoices[[#This Row],[Collected]]</f>
        <v>68.900000000000006</v>
      </c>
    </row>
    <row r="52" spans="1:7" x14ac:dyDescent="0.3">
      <c r="A52">
        <f t="shared" ca="1" si="0"/>
        <v>811798</v>
      </c>
      <c r="B52" s="2">
        <f t="shared" ca="1" si="1"/>
        <v>43479</v>
      </c>
      <c r="C52" s="2" t="s">
        <v>7</v>
      </c>
      <c r="D52" t="s">
        <v>62</v>
      </c>
      <c r="E52" s="1">
        <f t="shared" ca="1" si="2"/>
        <v>593</v>
      </c>
      <c r="F52" s="1">
        <f t="shared" ca="1" si="3"/>
        <v>50</v>
      </c>
      <c r="G52" s="1">
        <f ca="1">VLOOKUP(Invoices[[#This Row],[Collected]],CommissionPercentages[#Data],3)*Invoices[[#This Row],[Collected]]</f>
        <v>77.09</v>
      </c>
    </row>
    <row r="53" spans="1:7" x14ac:dyDescent="0.3">
      <c r="A53">
        <f t="shared" ca="1" si="0"/>
        <v>807184</v>
      </c>
      <c r="B53" s="2">
        <f t="shared" ca="1" si="1"/>
        <v>43495</v>
      </c>
      <c r="C53" s="2" t="s">
        <v>9</v>
      </c>
      <c r="D53" t="s">
        <v>63</v>
      </c>
      <c r="E53" s="1">
        <f t="shared" ca="1" si="2"/>
        <v>58</v>
      </c>
      <c r="F53" s="1">
        <f t="shared" ca="1" si="3"/>
        <v>0</v>
      </c>
      <c r="G53" s="1">
        <f ca="1">VLOOKUP(Invoices[[#This Row],[Collected]],CommissionPercentages[#Data],3)*Invoices[[#This Row],[Collected]]</f>
        <v>2.9000000000000004</v>
      </c>
    </row>
    <row r="54" spans="1:7" x14ac:dyDescent="0.3">
      <c r="A54">
        <f t="shared" ca="1" si="0"/>
        <v>307029</v>
      </c>
      <c r="B54" s="2">
        <f t="shared" ca="1" si="1"/>
        <v>43467</v>
      </c>
      <c r="C54" s="2" t="s">
        <v>11</v>
      </c>
      <c r="D54" t="s">
        <v>64</v>
      </c>
      <c r="E54" s="1">
        <f t="shared" ca="1" si="2"/>
        <v>665</v>
      </c>
      <c r="F54" s="1">
        <f t="shared" ca="1" si="3"/>
        <v>0</v>
      </c>
      <c r="G54" s="1">
        <f ca="1">VLOOKUP(Invoices[[#This Row],[Collected]],CommissionPercentages[#Data],3)*Invoices[[#This Row],[Collected]]</f>
        <v>86.45</v>
      </c>
    </row>
    <row r="55" spans="1:7" x14ac:dyDescent="0.3">
      <c r="A55">
        <f t="shared" ca="1" si="0"/>
        <v>516432</v>
      </c>
      <c r="B55" s="2">
        <f t="shared" ca="1" si="1"/>
        <v>43489</v>
      </c>
      <c r="C55" s="2" t="s">
        <v>13</v>
      </c>
      <c r="D55" t="s">
        <v>65</v>
      </c>
      <c r="E55" s="1">
        <f t="shared" ca="1" si="2"/>
        <v>280</v>
      </c>
      <c r="F55" s="1">
        <f t="shared" ca="1" si="3"/>
        <v>25</v>
      </c>
      <c r="G55" s="1">
        <f ca="1">VLOOKUP(Invoices[[#This Row],[Collected]],CommissionPercentages[#Data],3)*Invoices[[#This Row],[Collected]]</f>
        <v>22.400000000000002</v>
      </c>
    </row>
    <row r="56" spans="1:7" x14ac:dyDescent="0.3">
      <c r="A56">
        <f t="shared" ca="1" si="0"/>
        <v>296316</v>
      </c>
      <c r="B56" s="2">
        <f t="shared" ca="1" si="1"/>
        <v>43492</v>
      </c>
      <c r="C56" s="2" t="s">
        <v>15</v>
      </c>
      <c r="D56" t="s">
        <v>66</v>
      </c>
      <c r="E56" s="1">
        <f t="shared" ca="1" si="2"/>
        <v>321</v>
      </c>
      <c r="F56" s="1">
        <f t="shared" ca="1" si="3"/>
        <v>0</v>
      </c>
      <c r="G56" s="1">
        <f ca="1">VLOOKUP(Invoices[[#This Row],[Collected]],CommissionPercentages[#Data],3)*Invoices[[#This Row],[Collected]]</f>
        <v>25.68</v>
      </c>
    </row>
    <row r="57" spans="1:7" x14ac:dyDescent="0.3">
      <c r="A57">
        <f t="shared" ca="1" si="0"/>
        <v>449713</v>
      </c>
      <c r="B57" s="2">
        <f t="shared" ca="1" si="1"/>
        <v>43479</v>
      </c>
      <c r="C57" s="2" t="s">
        <v>7</v>
      </c>
      <c r="D57" t="s">
        <v>67</v>
      </c>
      <c r="E57" s="1">
        <f t="shared" ca="1" si="2"/>
        <v>70</v>
      </c>
      <c r="F57" s="1">
        <f t="shared" ca="1" si="3"/>
        <v>50</v>
      </c>
      <c r="G57" s="1">
        <f ca="1">VLOOKUP(Invoices[[#This Row],[Collected]],CommissionPercentages[#Data],3)*Invoices[[#This Row],[Collected]]</f>
        <v>3.5</v>
      </c>
    </row>
    <row r="58" spans="1:7" x14ac:dyDescent="0.3">
      <c r="A58">
        <f t="shared" ca="1" si="0"/>
        <v>276973</v>
      </c>
      <c r="B58" s="2">
        <f t="shared" ca="1" si="1"/>
        <v>43490</v>
      </c>
      <c r="C58" s="2" t="s">
        <v>9</v>
      </c>
      <c r="D58" t="s">
        <v>68</v>
      </c>
      <c r="E58" s="1">
        <f t="shared" ca="1" si="2"/>
        <v>441</v>
      </c>
      <c r="F58" s="1">
        <f t="shared" ca="1" si="3"/>
        <v>0</v>
      </c>
      <c r="G58" s="1">
        <f ca="1">VLOOKUP(Invoices[[#This Row],[Collected]],CommissionPercentages[#Data],3)*Invoices[[#This Row],[Collected]]</f>
        <v>57.330000000000005</v>
      </c>
    </row>
    <row r="59" spans="1:7" x14ac:dyDescent="0.3">
      <c r="A59">
        <f t="shared" ca="1" si="0"/>
        <v>501254</v>
      </c>
      <c r="B59" s="2">
        <f t="shared" ca="1" si="1"/>
        <v>43473</v>
      </c>
      <c r="C59" s="2" t="s">
        <v>11</v>
      </c>
      <c r="D59" t="s">
        <v>69</v>
      </c>
      <c r="E59" s="1">
        <f t="shared" ca="1" si="2"/>
        <v>432</v>
      </c>
      <c r="F59" s="1">
        <f t="shared" ca="1" si="3"/>
        <v>25</v>
      </c>
      <c r="G59" s="1">
        <f ca="1">VLOOKUP(Invoices[[#This Row],[Collected]],CommissionPercentages[#Data],3)*Invoices[[#This Row],[Collected]]</f>
        <v>56.160000000000004</v>
      </c>
    </row>
    <row r="60" spans="1:7" x14ac:dyDescent="0.3">
      <c r="A60">
        <f t="shared" ca="1" si="0"/>
        <v>982018</v>
      </c>
      <c r="B60" s="2">
        <f t="shared" ca="1" si="1"/>
        <v>43477</v>
      </c>
      <c r="C60" s="2" t="s">
        <v>13</v>
      </c>
      <c r="D60" t="s">
        <v>70</v>
      </c>
      <c r="E60" s="1">
        <f t="shared" ca="1" si="2"/>
        <v>278</v>
      </c>
      <c r="F60" s="1">
        <f t="shared" ca="1" si="3"/>
        <v>50</v>
      </c>
      <c r="G60" s="1">
        <f ca="1">VLOOKUP(Invoices[[#This Row],[Collected]],CommissionPercentages[#Data],3)*Invoices[[#This Row],[Collected]]</f>
        <v>22.240000000000002</v>
      </c>
    </row>
    <row r="61" spans="1:7" x14ac:dyDescent="0.3">
      <c r="A61">
        <f t="shared" ca="1" si="0"/>
        <v>300647</v>
      </c>
      <c r="B61" s="2">
        <f t="shared" ca="1" si="1"/>
        <v>43467</v>
      </c>
      <c r="C61" s="2" t="s">
        <v>15</v>
      </c>
      <c r="D61" t="s">
        <v>71</v>
      </c>
      <c r="E61" s="1">
        <f t="shared" ca="1" si="2"/>
        <v>683</v>
      </c>
      <c r="F61" s="1">
        <f t="shared" ca="1" si="3"/>
        <v>50</v>
      </c>
      <c r="G61" s="1">
        <f ca="1">VLOOKUP(Invoices[[#This Row],[Collected]],CommissionPercentages[#Data],3)*Invoices[[#This Row],[Collected]]</f>
        <v>88.79</v>
      </c>
    </row>
    <row r="62" spans="1:7" x14ac:dyDescent="0.3">
      <c r="A62">
        <f t="shared" ca="1" si="0"/>
        <v>424134</v>
      </c>
      <c r="B62" s="2">
        <f t="shared" ca="1" si="1"/>
        <v>43480</v>
      </c>
      <c r="C62" s="2" t="s">
        <v>7</v>
      </c>
      <c r="D62" t="s">
        <v>72</v>
      </c>
      <c r="E62" s="1">
        <f t="shared" ca="1" si="2"/>
        <v>336</v>
      </c>
      <c r="F62" s="1">
        <f t="shared" ca="1" si="3"/>
        <v>0</v>
      </c>
      <c r="G62" s="1">
        <f ca="1">VLOOKUP(Invoices[[#This Row],[Collected]],CommissionPercentages[#Data],3)*Invoices[[#This Row],[Collected]]</f>
        <v>26.88</v>
      </c>
    </row>
    <row r="63" spans="1:7" x14ac:dyDescent="0.3">
      <c r="A63">
        <f t="shared" ca="1" si="0"/>
        <v>950141</v>
      </c>
      <c r="B63" s="2">
        <f t="shared" ca="1" si="1"/>
        <v>43467</v>
      </c>
      <c r="C63" s="2" t="s">
        <v>9</v>
      </c>
      <c r="D63" t="s">
        <v>73</v>
      </c>
      <c r="E63" s="1">
        <f t="shared" ca="1" si="2"/>
        <v>533</v>
      </c>
      <c r="F63" s="1">
        <f t="shared" ca="1" si="3"/>
        <v>0</v>
      </c>
      <c r="G63" s="1">
        <f ca="1">VLOOKUP(Invoices[[#This Row],[Collected]],CommissionPercentages[#Data],3)*Invoices[[#This Row],[Collected]]</f>
        <v>69.290000000000006</v>
      </c>
    </row>
    <row r="64" spans="1:7" x14ac:dyDescent="0.3">
      <c r="A64">
        <f t="shared" ca="1" si="0"/>
        <v>810154</v>
      </c>
      <c r="B64" s="2">
        <f t="shared" ca="1" si="1"/>
        <v>43470</v>
      </c>
      <c r="C64" s="2" t="s">
        <v>11</v>
      </c>
      <c r="D64" t="s">
        <v>74</v>
      </c>
      <c r="E64" s="1">
        <f t="shared" ca="1" si="2"/>
        <v>580</v>
      </c>
      <c r="F64" s="1">
        <f t="shared" ca="1" si="3"/>
        <v>0</v>
      </c>
      <c r="G64" s="1">
        <f ca="1">VLOOKUP(Invoices[[#This Row],[Collected]],CommissionPercentages[#Data],3)*Invoices[[#This Row],[Collected]]</f>
        <v>75.400000000000006</v>
      </c>
    </row>
    <row r="65" spans="1:7" x14ac:dyDescent="0.3">
      <c r="A65">
        <f t="shared" ca="1" si="0"/>
        <v>274854</v>
      </c>
      <c r="B65" s="2">
        <f t="shared" ca="1" si="1"/>
        <v>43495</v>
      </c>
      <c r="C65" s="2" t="s">
        <v>13</v>
      </c>
      <c r="D65" t="s">
        <v>75</v>
      </c>
      <c r="E65" s="1">
        <f t="shared" ca="1" si="2"/>
        <v>163</v>
      </c>
      <c r="F65" s="1">
        <f t="shared" ca="1" si="3"/>
        <v>50</v>
      </c>
      <c r="G65" s="1">
        <f ca="1">VLOOKUP(Invoices[[#This Row],[Collected]],CommissionPercentages[#Data],3)*Invoices[[#This Row],[Collected]]</f>
        <v>8.15</v>
      </c>
    </row>
    <row r="66" spans="1:7" x14ac:dyDescent="0.3">
      <c r="A66">
        <f t="shared" ca="1" si="0"/>
        <v>880063</v>
      </c>
      <c r="B66" s="2">
        <f t="shared" ca="1" si="1"/>
        <v>43481</v>
      </c>
      <c r="C66" s="2" t="s">
        <v>15</v>
      </c>
      <c r="D66" t="s">
        <v>76</v>
      </c>
      <c r="E66" s="1">
        <f t="shared" ca="1" si="2"/>
        <v>223</v>
      </c>
      <c r="F66" s="1">
        <f t="shared" ca="1" si="3"/>
        <v>50</v>
      </c>
      <c r="G66" s="1">
        <f ca="1">VLOOKUP(Invoices[[#This Row],[Collected]],CommissionPercentages[#Data],3)*Invoices[[#This Row],[Collected]]</f>
        <v>17.84</v>
      </c>
    </row>
    <row r="67" spans="1:7" x14ac:dyDescent="0.3">
      <c r="A67">
        <f t="shared" ref="A67:A130" ca="1" si="4">RANDBETWEEN(111111,999999)</f>
        <v>404726</v>
      </c>
      <c r="B67" s="2">
        <f t="shared" ref="B67:B130" ca="1" si="5">RANDBETWEEN(43466,43496)</f>
        <v>43475</v>
      </c>
      <c r="C67" s="2" t="s">
        <v>7</v>
      </c>
      <c r="D67" t="s">
        <v>77</v>
      </c>
      <c r="E67" s="1">
        <f t="shared" ref="E67:E130" ca="1" si="6">RANDBETWEEN(50,850)</f>
        <v>130</v>
      </c>
      <c r="F67" s="1">
        <f t="shared" ref="F67:F130" ca="1" si="7">CHOOSE(RANDBETWEEN(1,5),0,0,0,25,50)</f>
        <v>25</v>
      </c>
      <c r="G67" s="1">
        <f ca="1">VLOOKUP(Invoices[[#This Row],[Collected]],CommissionPercentages[#Data],3)*Invoices[[#This Row],[Collected]]</f>
        <v>6.5</v>
      </c>
    </row>
    <row r="68" spans="1:7" x14ac:dyDescent="0.3">
      <c r="A68">
        <f t="shared" ca="1" si="4"/>
        <v>969486</v>
      </c>
      <c r="B68" s="2">
        <f t="shared" ca="1" si="5"/>
        <v>43488</v>
      </c>
      <c r="C68" s="2" t="s">
        <v>9</v>
      </c>
      <c r="D68" t="s">
        <v>78</v>
      </c>
      <c r="E68" s="1">
        <f t="shared" ca="1" si="6"/>
        <v>295</v>
      </c>
      <c r="F68" s="1">
        <f t="shared" ca="1" si="7"/>
        <v>25</v>
      </c>
      <c r="G68" s="1">
        <f ca="1">VLOOKUP(Invoices[[#This Row],[Collected]],CommissionPercentages[#Data],3)*Invoices[[#This Row],[Collected]]</f>
        <v>23.6</v>
      </c>
    </row>
    <row r="69" spans="1:7" x14ac:dyDescent="0.3">
      <c r="A69">
        <f t="shared" ca="1" si="4"/>
        <v>636756</v>
      </c>
      <c r="B69" s="2">
        <f t="shared" ca="1" si="5"/>
        <v>43472</v>
      </c>
      <c r="C69" s="2" t="s">
        <v>11</v>
      </c>
      <c r="D69" t="s">
        <v>79</v>
      </c>
      <c r="E69" s="1">
        <f t="shared" ca="1" si="6"/>
        <v>91</v>
      </c>
      <c r="F69" s="1">
        <f t="shared" ca="1" si="7"/>
        <v>0</v>
      </c>
      <c r="G69" s="1">
        <f ca="1">VLOOKUP(Invoices[[#This Row],[Collected]],CommissionPercentages[#Data],3)*Invoices[[#This Row],[Collected]]</f>
        <v>4.55</v>
      </c>
    </row>
    <row r="70" spans="1:7" x14ac:dyDescent="0.3">
      <c r="A70">
        <f t="shared" ca="1" si="4"/>
        <v>353511</v>
      </c>
      <c r="B70" s="2">
        <f t="shared" ca="1" si="5"/>
        <v>43475</v>
      </c>
      <c r="C70" s="2" t="s">
        <v>13</v>
      </c>
      <c r="D70" t="s">
        <v>80</v>
      </c>
      <c r="E70" s="1">
        <f t="shared" ca="1" si="6"/>
        <v>757</v>
      </c>
      <c r="F70" s="1">
        <f t="shared" ca="1" si="7"/>
        <v>50</v>
      </c>
      <c r="G70" s="1">
        <f ca="1">VLOOKUP(Invoices[[#This Row],[Collected]],CommissionPercentages[#Data],3)*Invoices[[#This Row],[Collected]]</f>
        <v>98.41</v>
      </c>
    </row>
    <row r="71" spans="1:7" x14ac:dyDescent="0.3">
      <c r="A71">
        <f t="shared" ca="1" si="4"/>
        <v>909661</v>
      </c>
      <c r="B71" s="2">
        <f t="shared" ca="1" si="5"/>
        <v>43489</v>
      </c>
      <c r="C71" s="2" t="s">
        <v>15</v>
      </c>
      <c r="D71" t="s">
        <v>81</v>
      </c>
      <c r="E71" s="1">
        <f t="shared" ca="1" si="6"/>
        <v>134</v>
      </c>
      <c r="F71" s="1">
        <f t="shared" ca="1" si="7"/>
        <v>0</v>
      </c>
      <c r="G71" s="1">
        <f ca="1">VLOOKUP(Invoices[[#This Row],[Collected]],CommissionPercentages[#Data],3)*Invoices[[#This Row],[Collected]]</f>
        <v>6.7</v>
      </c>
    </row>
    <row r="72" spans="1:7" x14ac:dyDescent="0.3">
      <c r="A72">
        <f t="shared" ca="1" si="4"/>
        <v>530788</v>
      </c>
      <c r="B72" s="2">
        <f t="shared" ca="1" si="5"/>
        <v>43477</v>
      </c>
      <c r="C72" s="2" t="s">
        <v>7</v>
      </c>
      <c r="D72" t="s">
        <v>82</v>
      </c>
      <c r="E72" s="1">
        <f t="shared" ca="1" si="6"/>
        <v>607</v>
      </c>
      <c r="F72" s="1">
        <f t="shared" ca="1" si="7"/>
        <v>0</v>
      </c>
      <c r="G72" s="1">
        <f ca="1">VLOOKUP(Invoices[[#This Row],[Collected]],CommissionPercentages[#Data],3)*Invoices[[#This Row],[Collected]]</f>
        <v>78.91</v>
      </c>
    </row>
    <row r="73" spans="1:7" x14ac:dyDescent="0.3">
      <c r="A73">
        <f t="shared" ca="1" si="4"/>
        <v>233218</v>
      </c>
      <c r="B73" s="2">
        <f t="shared" ca="1" si="5"/>
        <v>43472</v>
      </c>
      <c r="C73" s="2" t="s">
        <v>9</v>
      </c>
      <c r="D73" t="s">
        <v>83</v>
      </c>
      <c r="E73" s="1">
        <f t="shared" ca="1" si="6"/>
        <v>599</v>
      </c>
      <c r="F73" s="1">
        <f t="shared" ca="1" si="7"/>
        <v>50</v>
      </c>
      <c r="G73" s="1">
        <f ca="1">VLOOKUP(Invoices[[#This Row],[Collected]],CommissionPercentages[#Data],3)*Invoices[[#This Row],[Collected]]</f>
        <v>77.87</v>
      </c>
    </row>
    <row r="74" spans="1:7" x14ac:dyDescent="0.3">
      <c r="A74">
        <f t="shared" ca="1" si="4"/>
        <v>390736</v>
      </c>
      <c r="B74" s="2">
        <f t="shared" ca="1" si="5"/>
        <v>43477</v>
      </c>
      <c r="C74" s="2" t="s">
        <v>11</v>
      </c>
      <c r="D74" t="s">
        <v>84</v>
      </c>
      <c r="E74" s="1">
        <f t="shared" ca="1" si="6"/>
        <v>63</v>
      </c>
      <c r="F74" s="1">
        <f t="shared" ca="1" si="7"/>
        <v>0</v>
      </c>
      <c r="G74" s="1">
        <f ca="1">VLOOKUP(Invoices[[#This Row],[Collected]],CommissionPercentages[#Data],3)*Invoices[[#This Row],[Collected]]</f>
        <v>3.1500000000000004</v>
      </c>
    </row>
    <row r="75" spans="1:7" x14ac:dyDescent="0.3">
      <c r="A75">
        <f t="shared" ca="1" si="4"/>
        <v>818908</v>
      </c>
      <c r="B75" s="2">
        <f t="shared" ca="1" si="5"/>
        <v>43475</v>
      </c>
      <c r="C75" s="2" t="s">
        <v>13</v>
      </c>
      <c r="D75" t="s">
        <v>85</v>
      </c>
      <c r="E75" s="1">
        <f t="shared" ca="1" si="6"/>
        <v>241</v>
      </c>
      <c r="F75" s="1">
        <f t="shared" ca="1" si="7"/>
        <v>50</v>
      </c>
      <c r="G75" s="1">
        <f ca="1">VLOOKUP(Invoices[[#This Row],[Collected]],CommissionPercentages[#Data],3)*Invoices[[#This Row],[Collected]]</f>
        <v>19.28</v>
      </c>
    </row>
    <row r="76" spans="1:7" x14ac:dyDescent="0.3">
      <c r="A76">
        <f t="shared" ca="1" si="4"/>
        <v>521006</v>
      </c>
      <c r="B76" s="2">
        <f t="shared" ca="1" si="5"/>
        <v>43477</v>
      </c>
      <c r="C76" s="2" t="s">
        <v>15</v>
      </c>
      <c r="D76" t="s">
        <v>86</v>
      </c>
      <c r="E76" s="1">
        <f t="shared" ca="1" si="6"/>
        <v>719</v>
      </c>
      <c r="F76" s="1">
        <f t="shared" ca="1" si="7"/>
        <v>0</v>
      </c>
      <c r="G76" s="1">
        <f ca="1">VLOOKUP(Invoices[[#This Row],[Collected]],CommissionPercentages[#Data],3)*Invoices[[#This Row],[Collected]]</f>
        <v>93.47</v>
      </c>
    </row>
    <row r="77" spans="1:7" x14ac:dyDescent="0.3">
      <c r="A77">
        <f t="shared" ca="1" si="4"/>
        <v>111211</v>
      </c>
      <c r="B77" s="2">
        <f t="shared" ca="1" si="5"/>
        <v>43490</v>
      </c>
      <c r="C77" s="2" t="s">
        <v>7</v>
      </c>
      <c r="D77" t="s">
        <v>87</v>
      </c>
      <c r="E77" s="1">
        <f t="shared" ca="1" si="6"/>
        <v>307</v>
      </c>
      <c r="F77" s="1">
        <f t="shared" ca="1" si="7"/>
        <v>0</v>
      </c>
      <c r="G77" s="1">
        <f ca="1">VLOOKUP(Invoices[[#This Row],[Collected]],CommissionPercentages[#Data],3)*Invoices[[#This Row],[Collected]]</f>
        <v>24.560000000000002</v>
      </c>
    </row>
    <row r="78" spans="1:7" x14ac:dyDescent="0.3">
      <c r="A78">
        <f t="shared" ca="1" si="4"/>
        <v>228137</v>
      </c>
      <c r="B78" s="2">
        <f t="shared" ca="1" si="5"/>
        <v>43481</v>
      </c>
      <c r="C78" s="2" t="s">
        <v>9</v>
      </c>
      <c r="D78" t="s">
        <v>88</v>
      </c>
      <c r="E78" s="1">
        <f t="shared" ca="1" si="6"/>
        <v>303</v>
      </c>
      <c r="F78" s="1">
        <f t="shared" ca="1" si="7"/>
        <v>0</v>
      </c>
      <c r="G78" s="1">
        <f ca="1">VLOOKUP(Invoices[[#This Row],[Collected]],CommissionPercentages[#Data],3)*Invoices[[#This Row],[Collected]]</f>
        <v>24.240000000000002</v>
      </c>
    </row>
    <row r="79" spans="1:7" x14ac:dyDescent="0.3">
      <c r="A79">
        <f t="shared" ca="1" si="4"/>
        <v>906114</v>
      </c>
      <c r="B79" s="2">
        <f t="shared" ca="1" si="5"/>
        <v>43491</v>
      </c>
      <c r="C79" s="2" t="s">
        <v>11</v>
      </c>
      <c r="D79" t="s">
        <v>89</v>
      </c>
      <c r="E79" s="1">
        <f t="shared" ca="1" si="6"/>
        <v>156</v>
      </c>
      <c r="F79" s="1">
        <f t="shared" ca="1" si="7"/>
        <v>50</v>
      </c>
      <c r="G79" s="1">
        <f ca="1">VLOOKUP(Invoices[[#This Row],[Collected]],CommissionPercentages[#Data],3)*Invoices[[#This Row],[Collected]]</f>
        <v>7.8000000000000007</v>
      </c>
    </row>
    <row r="80" spans="1:7" x14ac:dyDescent="0.3">
      <c r="A80">
        <f t="shared" ca="1" si="4"/>
        <v>368292</v>
      </c>
      <c r="B80" s="2">
        <f t="shared" ca="1" si="5"/>
        <v>43473</v>
      </c>
      <c r="C80" s="2" t="s">
        <v>13</v>
      </c>
      <c r="D80" t="s">
        <v>90</v>
      </c>
      <c r="E80" s="1">
        <f t="shared" ca="1" si="6"/>
        <v>153</v>
      </c>
      <c r="F80" s="1">
        <f t="shared" ca="1" si="7"/>
        <v>0</v>
      </c>
      <c r="G80" s="1">
        <f ca="1">VLOOKUP(Invoices[[#This Row],[Collected]],CommissionPercentages[#Data],3)*Invoices[[#This Row],[Collected]]</f>
        <v>7.65</v>
      </c>
    </row>
    <row r="81" spans="1:7" x14ac:dyDescent="0.3">
      <c r="A81">
        <f t="shared" ca="1" si="4"/>
        <v>519455</v>
      </c>
      <c r="B81" s="2">
        <f t="shared" ca="1" si="5"/>
        <v>43478</v>
      </c>
      <c r="C81" s="2" t="s">
        <v>15</v>
      </c>
      <c r="D81" t="s">
        <v>91</v>
      </c>
      <c r="E81" s="1">
        <f t="shared" ca="1" si="6"/>
        <v>419</v>
      </c>
      <c r="F81" s="1">
        <f t="shared" ca="1" si="7"/>
        <v>0</v>
      </c>
      <c r="G81" s="1">
        <f ca="1">VLOOKUP(Invoices[[#This Row],[Collected]],CommissionPercentages[#Data],3)*Invoices[[#This Row],[Collected]]</f>
        <v>54.47</v>
      </c>
    </row>
    <row r="82" spans="1:7" x14ac:dyDescent="0.3">
      <c r="A82">
        <f t="shared" ca="1" si="4"/>
        <v>188051</v>
      </c>
      <c r="B82" s="2">
        <f t="shared" ca="1" si="5"/>
        <v>43493</v>
      </c>
      <c r="C82" s="2" t="s">
        <v>7</v>
      </c>
      <c r="D82" t="s">
        <v>92</v>
      </c>
      <c r="E82" s="1">
        <f t="shared" ca="1" si="6"/>
        <v>74</v>
      </c>
      <c r="F82" s="1">
        <f t="shared" ca="1" si="7"/>
        <v>0</v>
      </c>
      <c r="G82" s="1">
        <f ca="1">VLOOKUP(Invoices[[#This Row],[Collected]],CommissionPercentages[#Data],3)*Invoices[[#This Row],[Collected]]</f>
        <v>3.7</v>
      </c>
    </row>
    <row r="83" spans="1:7" x14ac:dyDescent="0.3">
      <c r="A83">
        <f t="shared" ca="1" si="4"/>
        <v>619229</v>
      </c>
      <c r="B83" s="2">
        <f t="shared" ca="1" si="5"/>
        <v>43487</v>
      </c>
      <c r="C83" s="2" t="s">
        <v>9</v>
      </c>
      <c r="D83" t="s">
        <v>93</v>
      </c>
      <c r="E83" s="1">
        <f t="shared" ca="1" si="6"/>
        <v>539</v>
      </c>
      <c r="F83" s="1">
        <f t="shared" ca="1" si="7"/>
        <v>0</v>
      </c>
      <c r="G83" s="1">
        <f ca="1">VLOOKUP(Invoices[[#This Row],[Collected]],CommissionPercentages[#Data],3)*Invoices[[#This Row],[Collected]]</f>
        <v>70.070000000000007</v>
      </c>
    </row>
    <row r="84" spans="1:7" x14ac:dyDescent="0.3">
      <c r="A84">
        <f t="shared" ca="1" si="4"/>
        <v>391938</v>
      </c>
      <c r="B84" s="2">
        <f t="shared" ca="1" si="5"/>
        <v>43485</v>
      </c>
      <c r="C84" s="2" t="s">
        <v>11</v>
      </c>
      <c r="D84" t="s">
        <v>94</v>
      </c>
      <c r="E84" s="1">
        <f t="shared" ca="1" si="6"/>
        <v>430</v>
      </c>
      <c r="F84" s="1">
        <f t="shared" ca="1" si="7"/>
        <v>50</v>
      </c>
      <c r="G84" s="1">
        <f ca="1">VLOOKUP(Invoices[[#This Row],[Collected]],CommissionPercentages[#Data],3)*Invoices[[#This Row],[Collected]]</f>
        <v>55.9</v>
      </c>
    </row>
    <row r="85" spans="1:7" x14ac:dyDescent="0.3">
      <c r="A85">
        <f t="shared" ca="1" si="4"/>
        <v>789116</v>
      </c>
      <c r="B85" s="2">
        <f t="shared" ca="1" si="5"/>
        <v>43483</v>
      </c>
      <c r="C85" s="2" t="s">
        <v>13</v>
      </c>
      <c r="D85" t="s">
        <v>95</v>
      </c>
      <c r="E85" s="1">
        <f t="shared" ca="1" si="6"/>
        <v>196</v>
      </c>
      <c r="F85" s="1">
        <f t="shared" ca="1" si="7"/>
        <v>50</v>
      </c>
      <c r="G85" s="1">
        <f ca="1">VLOOKUP(Invoices[[#This Row],[Collected]],CommissionPercentages[#Data],3)*Invoices[[#This Row],[Collected]]</f>
        <v>9.8000000000000007</v>
      </c>
    </row>
    <row r="86" spans="1:7" x14ac:dyDescent="0.3">
      <c r="A86">
        <f t="shared" ca="1" si="4"/>
        <v>565578</v>
      </c>
      <c r="B86" s="2">
        <f t="shared" ca="1" si="5"/>
        <v>43473</v>
      </c>
      <c r="C86" s="2" t="s">
        <v>15</v>
      </c>
      <c r="D86" t="s">
        <v>96</v>
      </c>
      <c r="E86" s="1">
        <f t="shared" ca="1" si="6"/>
        <v>213</v>
      </c>
      <c r="F86" s="1">
        <f t="shared" ca="1" si="7"/>
        <v>0</v>
      </c>
      <c r="G86" s="1">
        <f ca="1">VLOOKUP(Invoices[[#This Row],[Collected]],CommissionPercentages[#Data],3)*Invoices[[#This Row],[Collected]]</f>
        <v>17.04</v>
      </c>
    </row>
    <row r="87" spans="1:7" x14ac:dyDescent="0.3">
      <c r="A87">
        <f t="shared" ca="1" si="4"/>
        <v>504589</v>
      </c>
      <c r="B87" s="2">
        <f t="shared" ca="1" si="5"/>
        <v>43472</v>
      </c>
      <c r="C87" s="2" t="s">
        <v>7</v>
      </c>
      <c r="D87" t="s">
        <v>97</v>
      </c>
      <c r="E87" s="1">
        <f t="shared" ca="1" si="6"/>
        <v>320</v>
      </c>
      <c r="F87" s="1">
        <f t="shared" ca="1" si="7"/>
        <v>50</v>
      </c>
      <c r="G87" s="1">
        <f ca="1">VLOOKUP(Invoices[[#This Row],[Collected]],CommissionPercentages[#Data],3)*Invoices[[#This Row],[Collected]]</f>
        <v>25.6</v>
      </c>
    </row>
    <row r="88" spans="1:7" x14ac:dyDescent="0.3">
      <c r="A88">
        <f t="shared" ca="1" si="4"/>
        <v>222853</v>
      </c>
      <c r="B88" s="2">
        <f t="shared" ca="1" si="5"/>
        <v>43469</v>
      </c>
      <c r="C88" s="2" t="s">
        <v>9</v>
      </c>
      <c r="D88" t="s">
        <v>98</v>
      </c>
      <c r="E88" s="1">
        <f t="shared" ca="1" si="6"/>
        <v>572</v>
      </c>
      <c r="F88" s="1">
        <f t="shared" ca="1" si="7"/>
        <v>0</v>
      </c>
      <c r="G88" s="1">
        <f ca="1">VLOOKUP(Invoices[[#This Row],[Collected]],CommissionPercentages[#Data],3)*Invoices[[#This Row],[Collected]]</f>
        <v>74.36</v>
      </c>
    </row>
    <row r="89" spans="1:7" x14ac:dyDescent="0.3">
      <c r="A89">
        <f t="shared" ca="1" si="4"/>
        <v>881278</v>
      </c>
      <c r="B89" s="2">
        <f t="shared" ca="1" si="5"/>
        <v>43492</v>
      </c>
      <c r="C89" s="2" t="s">
        <v>11</v>
      </c>
      <c r="D89" t="s">
        <v>99</v>
      </c>
      <c r="E89" s="1">
        <f t="shared" ca="1" si="6"/>
        <v>358</v>
      </c>
      <c r="F89" s="1">
        <f t="shared" ca="1" si="7"/>
        <v>25</v>
      </c>
      <c r="G89" s="1">
        <f ca="1">VLOOKUP(Invoices[[#This Row],[Collected]],CommissionPercentages[#Data],3)*Invoices[[#This Row],[Collected]]</f>
        <v>28.64</v>
      </c>
    </row>
    <row r="90" spans="1:7" x14ac:dyDescent="0.3">
      <c r="A90">
        <f t="shared" ca="1" si="4"/>
        <v>214700</v>
      </c>
      <c r="B90" s="2">
        <f t="shared" ca="1" si="5"/>
        <v>43478</v>
      </c>
      <c r="C90" s="2" t="s">
        <v>13</v>
      </c>
      <c r="D90" t="s">
        <v>100</v>
      </c>
      <c r="E90" s="1">
        <f t="shared" ca="1" si="6"/>
        <v>199</v>
      </c>
      <c r="F90" s="1">
        <f t="shared" ca="1" si="7"/>
        <v>50</v>
      </c>
      <c r="G90" s="1">
        <f ca="1">VLOOKUP(Invoices[[#This Row],[Collected]],CommissionPercentages[#Data],3)*Invoices[[#This Row],[Collected]]</f>
        <v>9.9500000000000011</v>
      </c>
    </row>
    <row r="91" spans="1:7" x14ac:dyDescent="0.3">
      <c r="A91">
        <f t="shared" ca="1" si="4"/>
        <v>829530</v>
      </c>
      <c r="B91" s="2">
        <f t="shared" ca="1" si="5"/>
        <v>43492</v>
      </c>
      <c r="C91" s="2" t="s">
        <v>15</v>
      </c>
      <c r="D91" t="s">
        <v>101</v>
      </c>
      <c r="E91" s="1">
        <f t="shared" ca="1" si="6"/>
        <v>622</v>
      </c>
      <c r="F91" s="1">
        <f t="shared" ca="1" si="7"/>
        <v>25</v>
      </c>
      <c r="G91" s="1">
        <f ca="1">VLOOKUP(Invoices[[#This Row],[Collected]],CommissionPercentages[#Data],3)*Invoices[[#This Row],[Collected]]</f>
        <v>80.86</v>
      </c>
    </row>
    <row r="92" spans="1:7" x14ac:dyDescent="0.3">
      <c r="A92">
        <f t="shared" ca="1" si="4"/>
        <v>212036</v>
      </c>
      <c r="B92" s="2">
        <f t="shared" ca="1" si="5"/>
        <v>43477</v>
      </c>
      <c r="C92" s="2" t="s">
        <v>7</v>
      </c>
      <c r="D92" t="s">
        <v>102</v>
      </c>
      <c r="E92" s="1">
        <f t="shared" ca="1" si="6"/>
        <v>555</v>
      </c>
      <c r="F92" s="1">
        <f t="shared" ca="1" si="7"/>
        <v>0</v>
      </c>
      <c r="G92" s="1">
        <f ca="1">VLOOKUP(Invoices[[#This Row],[Collected]],CommissionPercentages[#Data],3)*Invoices[[#This Row],[Collected]]</f>
        <v>72.150000000000006</v>
      </c>
    </row>
    <row r="93" spans="1:7" x14ac:dyDescent="0.3">
      <c r="A93">
        <f t="shared" ca="1" si="4"/>
        <v>657200</v>
      </c>
      <c r="B93" s="2">
        <f t="shared" ca="1" si="5"/>
        <v>43478</v>
      </c>
      <c r="C93" s="2" t="s">
        <v>9</v>
      </c>
      <c r="D93" t="s">
        <v>103</v>
      </c>
      <c r="E93" s="1">
        <f t="shared" ca="1" si="6"/>
        <v>75</v>
      </c>
      <c r="F93" s="1">
        <f t="shared" ca="1" si="7"/>
        <v>50</v>
      </c>
      <c r="G93" s="1">
        <f ca="1">VLOOKUP(Invoices[[#This Row],[Collected]],CommissionPercentages[#Data],3)*Invoices[[#This Row],[Collected]]</f>
        <v>3.75</v>
      </c>
    </row>
    <row r="94" spans="1:7" x14ac:dyDescent="0.3">
      <c r="A94">
        <f t="shared" ca="1" si="4"/>
        <v>531734</v>
      </c>
      <c r="B94" s="2">
        <f t="shared" ca="1" si="5"/>
        <v>43496</v>
      </c>
      <c r="C94" s="2" t="s">
        <v>11</v>
      </c>
      <c r="D94" t="s">
        <v>104</v>
      </c>
      <c r="E94" s="1">
        <f t="shared" ca="1" si="6"/>
        <v>300</v>
      </c>
      <c r="F94" s="1">
        <f t="shared" ca="1" si="7"/>
        <v>25</v>
      </c>
      <c r="G94" s="1">
        <f ca="1">VLOOKUP(Invoices[[#This Row],[Collected]],CommissionPercentages[#Data],3)*Invoices[[#This Row],[Collected]]</f>
        <v>24</v>
      </c>
    </row>
    <row r="95" spans="1:7" x14ac:dyDescent="0.3">
      <c r="A95">
        <f t="shared" ca="1" si="4"/>
        <v>641487</v>
      </c>
      <c r="B95" s="2">
        <f t="shared" ca="1" si="5"/>
        <v>43482</v>
      </c>
      <c r="C95" s="2" t="s">
        <v>13</v>
      </c>
      <c r="D95" t="s">
        <v>105</v>
      </c>
      <c r="E95" s="1">
        <f t="shared" ca="1" si="6"/>
        <v>763</v>
      </c>
      <c r="F95" s="1">
        <f t="shared" ca="1" si="7"/>
        <v>0</v>
      </c>
      <c r="G95" s="1">
        <f ca="1">VLOOKUP(Invoices[[#This Row],[Collected]],CommissionPercentages[#Data],3)*Invoices[[#This Row],[Collected]]</f>
        <v>99.19</v>
      </c>
    </row>
    <row r="96" spans="1:7" x14ac:dyDescent="0.3">
      <c r="A96">
        <f t="shared" ca="1" si="4"/>
        <v>430982</v>
      </c>
      <c r="B96" s="2">
        <f t="shared" ca="1" si="5"/>
        <v>43478</v>
      </c>
      <c r="C96" s="2" t="s">
        <v>15</v>
      </c>
      <c r="D96" t="s">
        <v>106</v>
      </c>
      <c r="E96" s="1">
        <f t="shared" ca="1" si="6"/>
        <v>560</v>
      </c>
      <c r="F96" s="1">
        <f t="shared" ca="1" si="7"/>
        <v>0</v>
      </c>
      <c r="G96" s="1">
        <f ca="1">VLOOKUP(Invoices[[#This Row],[Collected]],CommissionPercentages[#Data],3)*Invoices[[#This Row],[Collected]]</f>
        <v>72.8</v>
      </c>
    </row>
    <row r="97" spans="1:7" x14ac:dyDescent="0.3">
      <c r="A97">
        <f t="shared" ca="1" si="4"/>
        <v>453388</v>
      </c>
      <c r="B97" s="2">
        <f t="shared" ca="1" si="5"/>
        <v>43470</v>
      </c>
      <c r="C97" s="2" t="s">
        <v>7</v>
      </c>
      <c r="D97" t="s">
        <v>107</v>
      </c>
      <c r="E97" s="1">
        <f t="shared" ca="1" si="6"/>
        <v>380</v>
      </c>
      <c r="F97" s="1">
        <f t="shared" ca="1" si="7"/>
        <v>25</v>
      </c>
      <c r="G97" s="1">
        <f ca="1">VLOOKUP(Invoices[[#This Row],[Collected]],CommissionPercentages[#Data],3)*Invoices[[#This Row],[Collected]]</f>
        <v>30.400000000000002</v>
      </c>
    </row>
    <row r="98" spans="1:7" x14ac:dyDescent="0.3">
      <c r="A98">
        <f t="shared" ca="1" si="4"/>
        <v>693131</v>
      </c>
      <c r="B98" s="2">
        <f t="shared" ca="1" si="5"/>
        <v>43481</v>
      </c>
      <c r="C98" s="2" t="s">
        <v>9</v>
      </c>
      <c r="D98" t="s">
        <v>108</v>
      </c>
      <c r="E98" s="1">
        <f t="shared" ca="1" si="6"/>
        <v>822</v>
      </c>
      <c r="F98" s="1">
        <f t="shared" ca="1" si="7"/>
        <v>0</v>
      </c>
      <c r="G98" s="1">
        <f ca="1">VLOOKUP(Invoices[[#This Row],[Collected]],CommissionPercentages[#Data],3)*Invoices[[#This Row],[Collected]]</f>
        <v>106.86</v>
      </c>
    </row>
    <row r="99" spans="1:7" x14ac:dyDescent="0.3">
      <c r="A99">
        <f t="shared" ca="1" si="4"/>
        <v>171110</v>
      </c>
      <c r="B99" s="2">
        <f t="shared" ca="1" si="5"/>
        <v>43472</v>
      </c>
      <c r="C99" s="2" t="s">
        <v>11</v>
      </c>
      <c r="D99" t="s">
        <v>109</v>
      </c>
      <c r="E99" s="1">
        <f t="shared" ca="1" si="6"/>
        <v>280</v>
      </c>
      <c r="F99" s="1">
        <f t="shared" ca="1" si="7"/>
        <v>50</v>
      </c>
      <c r="G99" s="1">
        <f ca="1">VLOOKUP(Invoices[[#This Row],[Collected]],CommissionPercentages[#Data],3)*Invoices[[#This Row],[Collected]]</f>
        <v>22.400000000000002</v>
      </c>
    </row>
    <row r="100" spans="1:7" x14ac:dyDescent="0.3">
      <c r="A100">
        <f t="shared" ca="1" si="4"/>
        <v>503610</v>
      </c>
      <c r="B100" s="2">
        <f t="shared" ca="1" si="5"/>
        <v>43488</v>
      </c>
      <c r="C100" s="2" t="s">
        <v>13</v>
      </c>
      <c r="D100" t="s">
        <v>110</v>
      </c>
      <c r="E100" s="1">
        <f t="shared" ca="1" si="6"/>
        <v>655</v>
      </c>
      <c r="F100" s="1">
        <f t="shared" ca="1" si="7"/>
        <v>50</v>
      </c>
      <c r="G100" s="1">
        <f ca="1">VLOOKUP(Invoices[[#This Row],[Collected]],CommissionPercentages[#Data],3)*Invoices[[#This Row],[Collected]]</f>
        <v>85.15</v>
      </c>
    </row>
    <row r="101" spans="1:7" x14ac:dyDescent="0.3">
      <c r="A101">
        <f t="shared" ca="1" si="4"/>
        <v>880088</v>
      </c>
      <c r="B101" s="2">
        <f t="shared" ca="1" si="5"/>
        <v>43489</v>
      </c>
      <c r="C101" s="2" t="s">
        <v>15</v>
      </c>
      <c r="D101" t="s">
        <v>111</v>
      </c>
      <c r="E101" s="1">
        <f t="shared" ca="1" si="6"/>
        <v>374</v>
      </c>
      <c r="F101" s="1">
        <f t="shared" ca="1" si="7"/>
        <v>0</v>
      </c>
      <c r="G101" s="1">
        <f ca="1">VLOOKUP(Invoices[[#This Row],[Collected]],CommissionPercentages[#Data],3)*Invoices[[#This Row],[Collected]]</f>
        <v>29.92</v>
      </c>
    </row>
    <row r="102" spans="1:7" x14ac:dyDescent="0.3">
      <c r="A102">
        <f t="shared" ca="1" si="4"/>
        <v>118385</v>
      </c>
      <c r="B102" s="2">
        <f t="shared" ca="1" si="5"/>
        <v>43472</v>
      </c>
      <c r="C102" s="2" t="s">
        <v>7</v>
      </c>
      <c r="D102" t="s">
        <v>62</v>
      </c>
      <c r="E102" s="1">
        <f t="shared" ca="1" si="6"/>
        <v>546</v>
      </c>
      <c r="F102" s="1">
        <f t="shared" ca="1" si="7"/>
        <v>25</v>
      </c>
      <c r="G102" s="1">
        <f ca="1">VLOOKUP(Invoices[[#This Row],[Collected]],CommissionPercentages[#Data],3)*Invoices[[#This Row],[Collected]]</f>
        <v>70.98</v>
      </c>
    </row>
    <row r="103" spans="1:7" x14ac:dyDescent="0.3">
      <c r="A103">
        <f t="shared" ca="1" si="4"/>
        <v>993630</v>
      </c>
      <c r="B103" s="2">
        <f t="shared" ca="1" si="5"/>
        <v>43492</v>
      </c>
      <c r="C103" s="2" t="s">
        <v>9</v>
      </c>
      <c r="D103" t="s">
        <v>63</v>
      </c>
      <c r="E103" s="1">
        <f t="shared" ca="1" si="6"/>
        <v>381</v>
      </c>
      <c r="F103" s="1">
        <f t="shared" ca="1" si="7"/>
        <v>0</v>
      </c>
      <c r="G103" s="1">
        <f ca="1">VLOOKUP(Invoices[[#This Row],[Collected]],CommissionPercentages[#Data],3)*Invoices[[#This Row],[Collected]]</f>
        <v>30.48</v>
      </c>
    </row>
    <row r="104" spans="1:7" x14ac:dyDescent="0.3">
      <c r="A104">
        <f t="shared" ca="1" si="4"/>
        <v>374013</v>
      </c>
      <c r="B104" s="2">
        <f t="shared" ca="1" si="5"/>
        <v>43481</v>
      </c>
      <c r="C104" s="2" t="s">
        <v>11</v>
      </c>
      <c r="D104" t="s">
        <v>64</v>
      </c>
      <c r="E104" s="1">
        <f t="shared" ca="1" si="6"/>
        <v>541</v>
      </c>
      <c r="F104" s="1">
        <f t="shared" ca="1" si="7"/>
        <v>0</v>
      </c>
      <c r="G104" s="1">
        <f ca="1">VLOOKUP(Invoices[[#This Row],[Collected]],CommissionPercentages[#Data],3)*Invoices[[#This Row],[Collected]]</f>
        <v>70.33</v>
      </c>
    </row>
    <row r="105" spans="1:7" x14ac:dyDescent="0.3">
      <c r="A105">
        <f t="shared" ca="1" si="4"/>
        <v>676924</v>
      </c>
      <c r="B105" s="2">
        <f t="shared" ca="1" si="5"/>
        <v>43496</v>
      </c>
      <c r="C105" s="2" t="s">
        <v>13</v>
      </c>
      <c r="D105" t="s">
        <v>65</v>
      </c>
      <c r="E105" s="1">
        <f t="shared" ca="1" si="6"/>
        <v>595</v>
      </c>
      <c r="F105" s="1">
        <f t="shared" ca="1" si="7"/>
        <v>0</v>
      </c>
      <c r="G105" s="1">
        <f ca="1">VLOOKUP(Invoices[[#This Row],[Collected]],CommissionPercentages[#Data],3)*Invoices[[#This Row],[Collected]]</f>
        <v>77.350000000000009</v>
      </c>
    </row>
    <row r="106" spans="1:7" x14ac:dyDescent="0.3">
      <c r="A106">
        <f t="shared" ca="1" si="4"/>
        <v>425995</v>
      </c>
      <c r="B106" s="2">
        <f t="shared" ca="1" si="5"/>
        <v>43485</v>
      </c>
      <c r="C106" s="2" t="s">
        <v>15</v>
      </c>
      <c r="D106" t="s">
        <v>66</v>
      </c>
      <c r="E106" s="1">
        <f t="shared" ca="1" si="6"/>
        <v>452</v>
      </c>
      <c r="F106" s="1">
        <f t="shared" ca="1" si="7"/>
        <v>50</v>
      </c>
      <c r="G106" s="1">
        <f ca="1">VLOOKUP(Invoices[[#This Row],[Collected]],CommissionPercentages[#Data],3)*Invoices[[#This Row],[Collected]]</f>
        <v>58.760000000000005</v>
      </c>
    </row>
    <row r="107" spans="1:7" x14ac:dyDescent="0.3">
      <c r="A107">
        <f t="shared" ca="1" si="4"/>
        <v>855622</v>
      </c>
      <c r="B107" s="2">
        <f t="shared" ca="1" si="5"/>
        <v>43482</v>
      </c>
      <c r="C107" s="2" t="s">
        <v>7</v>
      </c>
      <c r="D107" t="s">
        <v>67</v>
      </c>
      <c r="E107" s="1">
        <f t="shared" ca="1" si="6"/>
        <v>448</v>
      </c>
      <c r="F107" s="1">
        <f t="shared" ca="1" si="7"/>
        <v>0</v>
      </c>
      <c r="G107" s="1">
        <f ca="1">VLOOKUP(Invoices[[#This Row],[Collected]],CommissionPercentages[#Data],3)*Invoices[[#This Row],[Collected]]</f>
        <v>58.24</v>
      </c>
    </row>
    <row r="108" spans="1:7" x14ac:dyDescent="0.3">
      <c r="A108">
        <f t="shared" ca="1" si="4"/>
        <v>267643</v>
      </c>
      <c r="B108" s="2">
        <f t="shared" ca="1" si="5"/>
        <v>43473</v>
      </c>
      <c r="C108" s="2" t="s">
        <v>9</v>
      </c>
      <c r="D108" t="s">
        <v>68</v>
      </c>
      <c r="E108" s="1">
        <f t="shared" ca="1" si="6"/>
        <v>668</v>
      </c>
      <c r="F108" s="1">
        <f t="shared" ca="1" si="7"/>
        <v>25</v>
      </c>
      <c r="G108" s="1">
        <f ca="1">VLOOKUP(Invoices[[#This Row],[Collected]],CommissionPercentages[#Data],3)*Invoices[[#This Row],[Collected]]</f>
        <v>86.84</v>
      </c>
    </row>
    <row r="109" spans="1:7" x14ac:dyDescent="0.3">
      <c r="A109">
        <f t="shared" ca="1" si="4"/>
        <v>401874</v>
      </c>
      <c r="B109" s="2">
        <f t="shared" ca="1" si="5"/>
        <v>43470</v>
      </c>
      <c r="C109" s="2" t="s">
        <v>11</v>
      </c>
      <c r="D109" t="s">
        <v>69</v>
      </c>
      <c r="E109" s="1">
        <f t="shared" ca="1" si="6"/>
        <v>237</v>
      </c>
      <c r="F109" s="1">
        <f t="shared" ca="1" si="7"/>
        <v>0</v>
      </c>
      <c r="G109" s="1">
        <f ca="1">VLOOKUP(Invoices[[#This Row],[Collected]],CommissionPercentages[#Data],3)*Invoices[[#This Row],[Collected]]</f>
        <v>18.96</v>
      </c>
    </row>
    <row r="110" spans="1:7" x14ac:dyDescent="0.3">
      <c r="A110">
        <f t="shared" ca="1" si="4"/>
        <v>711056</v>
      </c>
      <c r="B110" s="2">
        <f t="shared" ca="1" si="5"/>
        <v>43496</v>
      </c>
      <c r="C110" s="2" t="s">
        <v>13</v>
      </c>
      <c r="D110" t="s">
        <v>70</v>
      </c>
      <c r="E110" s="1">
        <f t="shared" ca="1" si="6"/>
        <v>79</v>
      </c>
      <c r="F110" s="1">
        <f t="shared" ca="1" si="7"/>
        <v>0</v>
      </c>
      <c r="G110" s="1">
        <f ca="1">VLOOKUP(Invoices[[#This Row],[Collected]],CommissionPercentages[#Data],3)*Invoices[[#This Row],[Collected]]</f>
        <v>3.95</v>
      </c>
    </row>
    <row r="111" spans="1:7" x14ac:dyDescent="0.3">
      <c r="A111">
        <f t="shared" ca="1" si="4"/>
        <v>808688</v>
      </c>
      <c r="B111" s="2">
        <f t="shared" ca="1" si="5"/>
        <v>43473</v>
      </c>
      <c r="C111" s="2" t="s">
        <v>15</v>
      </c>
      <c r="D111" t="s">
        <v>71</v>
      </c>
      <c r="E111" s="1">
        <f t="shared" ca="1" si="6"/>
        <v>308</v>
      </c>
      <c r="F111" s="1">
        <f t="shared" ca="1" si="7"/>
        <v>50</v>
      </c>
      <c r="G111" s="1">
        <f ca="1">VLOOKUP(Invoices[[#This Row],[Collected]],CommissionPercentages[#Data],3)*Invoices[[#This Row],[Collected]]</f>
        <v>24.64</v>
      </c>
    </row>
    <row r="112" spans="1:7" x14ac:dyDescent="0.3">
      <c r="A112">
        <f t="shared" ca="1" si="4"/>
        <v>588694</v>
      </c>
      <c r="B112" s="2">
        <f t="shared" ca="1" si="5"/>
        <v>43472</v>
      </c>
      <c r="C112" s="2" t="s">
        <v>7</v>
      </c>
      <c r="D112" t="s">
        <v>72</v>
      </c>
      <c r="E112" s="1">
        <f t="shared" ca="1" si="6"/>
        <v>162</v>
      </c>
      <c r="F112" s="1">
        <f t="shared" ca="1" si="7"/>
        <v>25</v>
      </c>
      <c r="G112" s="1">
        <f ca="1">VLOOKUP(Invoices[[#This Row],[Collected]],CommissionPercentages[#Data],3)*Invoices[[#This Row],[Collected]]</f>
        <v>8.1</v>
      </c>
    </row>
    <row r="113" spans="1:7" x14ac:dyDescent="0.3">
      <c r="A113">
        <f t="shared" ca="1" si="4"/>
        <v>650284</v>
      </c>
      <c r="B113" s="2">
        <f t="shared" ca="1" si="5"/>
        <v>43493</v>
      </c>
      <c r="C113" s="2" t="s">
        <v>9</v>
      </c>
      <c r="D113" t="s">
        <v>73</v>
      </c>
      <c r="E113" s="1">
        <f t="shared" ca="1" si="6"/>
        <v>344</v>
      </c>
      <c r="F113" s="1">
        <f t="shared" ca="1" si="7"/>
        <v>0</v>
      </c>
      <c r="G113" s="1">
        <f ca="1">VLOOKUP(Invoices[[#This Row],[Collected]],CommissionPercentages[#Data],3)*Invoices[[#This Row],[Collected]]</f>
        <v>27.52</v>
      </c>
    </row>
    <row r="114" spans="1:7" x14ac:dyDescent="0.3">
      <c r="A114">
        <f t="shared" ca="1" si="4"/>
        <v>561022</v>
      </c>
      <c r="B114" s="2">
        <f t="shared" ca="1" si="5"/>
        <v>43480</v>
      </c>
      <c r="C114" s="2" t="s">
        <v>11</v>
      </c>
      <c r="D114" t="s">
        <v>74</v>
      </c>
      <c r="E114" s="1">
        <f t="shared" ca="1" si="6"/>
        <v>299</v>
      </c>
      <c r="F114" s="1">
        <f t="shared" ca="1" si="7"/>
        <v>0</v>
      </c>
      <c r="G114" s="1">
        <f ca="1">VLOOKUP(Invoices[[#This Row],[Collected]],CommissionPercentages[#Data],3)*Invoices[[#This Row],[Collected]]</f>
        <v>23.92</v>
      </c>
    </row>
    <row r="115" spans="1:7" x14ac:dyDescent="0.3">
      <c r="A115">
        <f t="shared" ca="1" si="4"/>
        <v>481378</v>
      </c>
      <c r="B115" s="2">
        <f t="shared" ca="1" si="5"/>
        <v>43470</v>
      </c>
      <c r="C115" s="2" t="s">
        <v>13</v>
      </c>
      <c r="D115" t="s">
        <v>75</v>
      </c>
      <c r="E115" s="1">
        <f t="shared" ca="1" si="6"/>
        <v>135</v>
      </c>
      <c r="F115" s="1">
        <f t="shared" ca="1" si="7"/>
        <v>50</v>
      </c>
      <c r="G115" s="1">
        <f ca="1">VLOOKUP(Invoices[[#This Row],[Collected]],CommissionPercentages[#Data],3)*Invoices[[#This Row],[Collected]]</f>
        <v>6.75</v>
      </c>
    </row>
    <row r="116" spans="1:7" x14ac:dyDescent="0.3">
      <c r="A116">
        <f t="shared" ca="1" si="4"/>
        <v>989497</v>
      </c>
      <c r="B116" s="2">
        <f t="shared" ca="1" si="5"/>
        <v>43487</v>
      </c>
      <c r="C116" s="2" t="s">
        <v>15</v>
      </c>
      <c r="D116" t="s">
        <v>76</v>
      </c>
      <c r="E116" s="1">
        <f t="shared" ca="1" si="6"/>
        <v>275</v>
      </c>
      <c r="F116" s="1">
        <f t="shared" ca="1" si="7"/>
        <v>25</v>
      </c>
      <c r="G116" s="1">
        <f ca="1">VLOOKUP(Invoices[[#This Row],[Collected]],CommissionPercentages[#Data],3)*Invoices[[#This Row],[Collected]]</f>
        <v>22</v>
      </c>
    </row>
    <row r="117" spans="1:7" x14ac:dyDescent="0.3">
      <c r="A117">
        <f t="shared" ca="1" si="4"/>
        <v>331965</v>
      </c>
      <c r="B117" s="2">
        <f t="shared" ca="1" si="5"/>
        <v>43492</v>
      </c>
      <c r="C117" s="2" t="s">
        <v>7</v>
      </c>
      <c r="D117" t="s">
        <v>77</v>
      </c>
      <c r="E117" s="1">
        <f t="shared" ca="1" si="6"/>
        <v>728</v>
      </c>
      <c r="F117" s="1">
        <f t="shared" ca="1" si="7"/>
        <v>25</v>
      </c>
      <c r="G117" s="1">
        <f ca="1">VLOOKUP(Invoices[[#This Row],[Collected]],CommissionPercentages[#Data],3)*Invoices[[#This Row],[Collected]]</f>
        <v>94.64</v>
      </c>
    </row>
    <row r="118" spans="1:7" x14ac:dyDescent="0.3">
      <c r="A118">
        <f t="shared" ca="1" si="4"/>
        <v>465080</v>
      </c>
      <c r="B118" s="2">
        <f t="shared" ca="1" si="5"/>
        <v>43490</v>
      </c>
      <c r="C118" s="2" t="s">
        <v>9</v>
      </c>
      <c r="D118" t="s">
        <v>78</v>
      </c>
      <c r="E118" s="1">
        <f t="shared" ca="1" si="6"/>
        <v>260</v>
      </c>
      <c r="F118" s="1">
        <f t="shared" ca="1" si="7"/>
        <v>0</v>
      </c>
      <c r="G118" s="1">
        <f ca="1">VLOOKUP(Invoices[[#This Row],[Collected]],CommissionPercentages[#Data],3)*Invoices[[#This Row],[Collected]]</f>
        <v>20.8</v>
      </c>
    </row>
    <row r="119" spans="1:7" x14ac:dyDescent="0.3">
      <c r="A119">
        <f t="shared" ca="1" si="4"/>
        <v>977602</v>
      </c>
      <c r="B119" s="2">
        <f t="shared" ca="1" si="5"/>
        <v>43477</v>
      </c>
      <c r="C119" s="2" t="s">
        <v>11</v>
      </c>
      <c r="D119" t="s">
        <v>79</v>
      </c>
      <c r="E119" s="1">
        <f t="shared" ca="1" si="6"/>
        <v>357</v>
      </c>
      <c r="F119" s="1">
        <f t="shared" ca="1" si="7"/>
        <v>0</v>
      </c>
      <c r="G119" s="1">
        <f ca="1">VLOOKUP(Invoices[[#This Row],[Collected]],CommissionPercentages[#Data],3)*Invoices[[#This Row],[Collected]]</f>
        <v>28.560000000000002</v>
      </c>
    </row>
    <row r="120" spans="1:7" x14ac:dyDescent="0.3">
      <c r="A120">
        <f t="shared" ca="1" si="4"/>
        <v>137618</v>
      </c>
      <c r="B120" s="2">
        <f t="shared" ca="1" si="5"/>
        <v>43468</v>
      </c>
      <c r="C120" s="2" t="s">
        <v>13</v>
      </c>
      <c r="D120" t="s">
        <v>80</v>
      </c>
      <c r="E120" s="1">
        <f t="shared" ca="1" si="6"/>
        <v>123</v>
      </c>
      <c r="F120" s="1">
        <f t="shared" ca="1" si="7"/>
        <v>50</v>
      </c>
      <c r="G120" s="1">
        <f ca="1">VLOOKUP(Invoices[[#This Row],[Collected]],CommissionPercentages[#Data],3)*Invoices[[#This Row],[Collected]]</f>
        <v>6.15</v>
      </c>
    </row>
    <row r="121" spans="1:7" x14ac:dyDescent="0.3">
      <c r="A121">
        <f t="shared" ca="1" si="4"/>
        <v>551275</v>
      </c>
      <c r="B121" s="2">
        <f t="shared" ca="1" si="5"/>
        <v>43492</v>
      </c>
      <c r="C121" s="2" t="s">
        <v>15</v>
      </c>
      <c r="D121" t="s">
        <v>81</v>
      </c>
      <c r="E121" s="1">
        <f t="shared" ca="1" si="6"/>
        <v>742</v>
      </c>
      <c r="F121" s="1">
        <f t="shared" ca="1" si="7"/>
        <v>0</v>
      </c>
      <c r="G121" s="1">
        <f ca="1">VLOOKUP(Invoices[[#This Row],[Collected]],CommissionPercentages[#Data],3)*Invoices[[#This Row],[Collected]]</f>
        <v>96.460000000000008</v>
      </c>
    </row>
    <row r="122" spans="1:7" x14ac:dyDescent="0.3">
      <c r="A122">
        <f t="shared" ca="1" si="4"/>
        <v>382387</v>
      </c>
      <c r="B122" s="2">
        <f t="shared" ca="1" si="5"/>
        <v>43468</v>
      </c>
      <c r="C122" s="2" t="s">
        <v>7</v>
      </c>
      <c r="D122" t="s">
        <v>82</v>
      </c>
      <c r="E122" s="1">
        <f t="shared" ca="1" si="6"/>
        <v>300</v>
      </c>
      <c r="F122" s="1">
        <f t="shared" ca="1" si="7"/>
        <v>0</v>
      </c>
      <c r="G122" s="1">
        <f ca="1">VLOOKUP(Invoices[[#This Row],[Collected]],CommissionPercentages[#Data],3)*Invoices[[#This Row],[Collected]]</f>
        <v>24</v>
      </c>
    </row>
    <row r="123" spans="1:7" x14ac:dyDescent="0.3">
      <c r="A123">
        <f t="shared" ca="1" si="4"/>
        <v>618255</v>
      </c>
      <c r="B123" s="2">
        <f t="shared" ca="1" si="5"/>
        <v>43473</v>
      </c>
      <c r="C123" s="2" t="s">
        <v>9</v>
      </c>
      <c r="D123" t="s">
        <v>83</v>
      </c>
      <c r="E123" s="1">
        <f t="shared" ca="1" si="6"/>
        <v>653</v>
      </c>
      <c r="F123" s="1">
        <f t="shared" ca="1" si="7"/>
        <v>0</v>
      </c>
      <c r="G123" s="1">
        <f ca="1">VLOOKUP(Invoices[[#This Row],[Collected]],CommissionPercentages[#Data],3)*Invoices[[#This Row],[Collected]]</f>
        <v>84.89</v>
      </c>
    </row>
    <row r="124" spans="1:7" x14ac:dyDescent="0.3">
      <c r="A124">
        <f t="shared" ca="1" si="4"/>
        <v>356801</v>
      </c>
      <c r="B124" s="2">
        <f t="shared" ca="1" si="5"/>
        <v>43471</v>
      </c>
      <c r="C124" s="2" t="s">
        <v>11</v>
      </c>
      <c r="D124" t="s">
        <v>84</v>
      </c>
      <c r="E124" s="1">
        <f t="shared" ca="1" si="6"/>
        <v>739</v>
      </c>
      <c r="F124" s="1">
        <f t="shared" ca="1" si="7"/>
        <v>50</v>
      </c>
      <c r="G124" s="1">
        <f ca="1">VLOOKUP(Invoices[[#This Row],[Collected]],CommissionPercentages[#Data],3)*Invoices[[#This Row],[Collected]]</f>
        <v>96.070000000000007</v>
      </c>
    </row>
    <row r="125" spans="1:7" x14ac:dyDescent="0.3">
      <c r="A125">
        <f t="shared" ca="1" si="4"/>
        <v>639776</v>
      </c>
      <c r="B125" s="2">
        <f t="shared" ca="1" si="5"/>
        <v>43470</v>
      </c>
      <c r="C125" s="2" t="s">
        <v>13</v>
      </c>
      <c r="D125" t="s">
        <v>85</v>
      </c>
      <c r="E125" s="1">
        <f t="shared" ca="1" si="6"/>
        <v>120</v>
      </c>
      <c r="F125" s="1">
        <f t="shared" ca="1" si="7"/>
        <v>0</v>
      </c>
      <c r="G125" s="1">
        <f ca="1">VLOOKUP(Invoices[[#This Row],[Collected]],CommissionPercentages[#Data],3)*Invoices[[#This Row],[Collected]]</f>
        <v>6</v>
      </c>
    </row>
    <row r="126" spans="1:7" x14ac:dyDescent="0.3">
      <c r="A126">
        <f t="shared" ca="1" si="4"/>
        <v>934832</v>
      </c>
      <c r="B126" s="2">
        <f t="shared" ca="1" si="5"/>
        <v>43484</v>
      </c>
      <c r="C126" s="2" t="s">
        <v>15</v>
      </c>
      <c r="D126" t="s">
        <v>86</v>
      </c>
      <c r="E126" s="1">
        <f t="shared" ca="1" si="6"/>
        <v>798</v>
      </c>
      <c r="F126" s="1">
        <f t="shared" ca="1" si="7"/>
        <v>0</v>
      </c>
      <c r="G126" s="1">
        <f ca="1">VLOOKUP(Invoices[[#This Row],[Collected]],CommissionPercentages[#Data],3)*Invoices[[#This Row],[Collected]]</f>
        <v>103.74000000000001</v>
      </c>
    </row>
    <row r="127" spans="1:7" x14ac:dyDescent="0.3">
      <c r="A127">
        <f t="shared" ca="1" si="4"/>
        <v>958324</v>
      </c>
      <c r="B127" s="2">
        <f t="shared" ca="1" si="5"/>
        <v>43496</v>
      </c>
      <c r="C127" s="2" t="s">
        <v>7</v>
      </c>
      <c r="D127" t="s">
        <v>87</v>
      </c>
      <c r="E127" s="1">
        <f t="shared" ca="1" si="6"/>
        <v>507</v>
      </c>
      <c r="F127" s="1">
        <f t="shared" ca="1" si="7"/>
        <v>0</v>
      </c>
      <c r="G127" s="1">
        <f ca="1">VLOOKUP(Invoices[[#This Row],[Collected]],CommissionPercentages[#Data],3)*Invoices[[#This Row],[Collected]]</f>
        <v>65.91</v>
      </c>
    </row>
    <row r="128" spans="1:7" x14ac:dyDescent="0.3">
      <c r="A128">
        <f t="shared" ca="1" si="4"/>
        <v>614991</v>
      </c>
      <c r="B128" s="2">
        <f t="shared" ca="1" si="5"/>
        <v>43478</v>
      </c>
      <c r="C128" s="2" t="s">
        <v>9</v>
      </c>
      <c r="D128" t="s">
        <v>88</v>
      </c>
      <c r="E128" s="1">
        <f t="shared" ca="1" si="6"/>
        <v>708</v>
      </c>
      <c r="F128" s="1">
        <f t="shared" ca="1" si="7"/>
        <v>0</v>
      </c>
      <c r="G128" s="1">
        <f ca="1">VLOOKUP(Invoices[[#This Row],[Collected]],CommissionPercentages[#Data],3)*Invoices[[#This Row],[Collected]]</f>
        <v>92.04</v>
      </c>
    </row>
    <row r="129" spans="1:7" x14ac:dyDescent="0.3">
      <c r="A129">
        <f t="shared" ca="1" si="4"/>
        <v>756355</v>
      </c>
      <c r="B129" s="2">
        <f t="shared" ca="1" si="5"/>
        <v>43491</v>
      </c>
      <c r="C129" s="2" t="s">
        <v>11</v>
      </c>
      <c r="D129" t="s">
        <v>89</v>
      </c>
      <c r="E129" s="1">
        <f t="shared" ca="1" si="6"/>
        <v>382</v>
      </c>
      <c r="F129" s="1">
        <f t="shared" ca="1" si="7"/>
        <v>0</v>
      </c>
      <c r="G129" s="1">
        <f ca="1">VLOOKUP(Invoices[[#This Row],[Collected]],CommissionPercentages[#Data],3)*Invoices[[#This Row],[Collected]]</f>
        <v>30.560000000000002</v>
      </c>
    </row>
    <row r="130" spans="1:7" x14ac:dyDescent="0.3">
      <c r="A130">
        <f t="shared" ca="1" si="4"/>
        <v>161537</v>
      </c>
      <c r="B130" s="2">
        <f t="shared" ca="1" si="5"/>
        <v>43487</v>
      </c>
      <c r="C130" s="2" t="s">
        <v>13</v>
      </c>
      <c r="D130" t="s">
        <v>90</v>
      </c>
      <c r="E130" s="1">
        <f t="shared" ca="1" si="6"/>
        <v>404</v>
      </c>
      <c r="F130" s="1">
        <f t="shared" ca="1" si="7"/>
        <v>0</v>
      </c>
      <c r="G130" s="1">
        <f ca="1">VLOOKUP(Invoices[[#This Row],[Collected]],CommissionPercentages[#Data],3)*Invoices[[#This Row],[Collected]]</f>
        <v>52.52</v>
      </c>
    </row>
    <row r="131" spans="1:7" x14ac:dyDescent="0.3">
      <c r="A131">
        <f t="shared" ref="A131:A139" ca="1" si="8">RANDBETWEEN(111111,999999)</f>
        <v>745610</v>
      </c>
      <c r="B131" s="2">
        <f t="shared" ref="B131:B139" ca="1" si="9">RANDBETWEEN(43466,43496)</f>
        <v>43476</v>
      </c>
      <c r="C131" s="2" t="s">
        <v>15</v>
      </c>
      <c r="D131" t="s">
        <v>91</v>
      </c>
      <c r="E131" s="1">
        <f t="shared" ref="E131:E139" ca="1" si="10">RANDBETWEEN(50,850)</f>
        <v>799</v>
      </c>
      <c r="F131" s="1">
        <f t="shared" ref="F131:F139" ca="1" si="11">CHOOSE(RANDBETWEEN(1,5),0,0,0,25,50)</f>
        <v>0</v>
      </c>
      <c r="G131" s="1">
        <f ca="1">VLOOKUP(Invoices[[#This Row],[Collected]],CommissionPercentages[#Data],3)*Invoices[[#This Row],[Collected]]</f>
        <v>103.87</v>
      </c>
    </row>
    <row r="132" spans="1:7" x14ac:dyDescent="0.3">
      <c r="A132">
        <f t="shared" ca="1" si="8"/>
        <v>575390</v>
      </c>
      <c r="B132" s="2">
        <f t="shared" ca="1" si="9"/>
        <v>43481</v>
      </c>
      <c r="C132" s="2" t="s">
        <v>7</v>
      </c>
      <c r="D132" t="s">
        <v>92</v>
      </c>
      <c r="E132" s="1">
        <f t="shared" ca="1" si="10"/>
        <v>685</v>
      </c>
      <c r="F132" s="1">
        <f t="shared" ca="1" si="11"/>
        <v>0</v>
      </c>
      <c r="G132" s="1">
        <f ca="1">VLOOKUP(Invoices[[#This Row],[Collected]],CommissionPercentages[#Data],3)*Invoices[[#This Row],[Collected]]</f>
        <v>89.05</v>
      </c>
    </row>
    <row r="133" spans="1:7" x14ac:dyDescent="0.3">
      <c r="A133">
        <f t="shared" ca="1" si="8"/>
        <v>137625</v>
      </c>
      <c r="B133" s="2">
        <f t="shared" ca="1" si="9"/>
        <v>43496</v>
      </c>
      <c r="C133" s="2" t="s">
        <v>9</v>
      </c>
      <c r="D133" t="s">
        <v>93</v>
      </c>
      <c r="E133" s="1">
        <f t="shared" ca="1" si="10"/>
        <v>390</v>
      </c>
      <c r="F133" s="1">
        <f t="shared" ca="1" si="11"/>
        <v>25</v>
      </c>
      <c r="G133" s="1">
        <f ca="1">VLOOKUP(Invoices[[#This Row],[Collected]],CommissionPercentages[#Data],3)*Invoices[[#This Row],[Collected]]</f>
        <v>31.2</v>
      </c>
    </row>
    <row r="134" spans="1:7" x14ac:dyDescent="0.3">
      <c r="A134">
        <f t="shared" ca="1" si="8"/>
        <v>470017</v>
      </c>
      <c r="B134" s="2">
        <f t="shared" ca="1" si="9"/>
        <v>43466</v>
      </c>
      <c r="C134" s="2" t="s">
        <v>11</v>
      </c>
      <c r="D134" t="s">
        <v>94</v>
      </c>
      <c r="E134" s="1">
        <f t="shared" ca="1" si="10"/>
        <v>221</v>
      </c>
      <c r="F134" s="1">
        <f t="shared" ca="1" si="11"/>
        <v>25</v>
      </c>
      <c r="G134" s="1">
        <f ca="1">VLOOKUP(Invoices[[#This Row],[Collected]],CommissionPercentages[#Data],3)*Invoices[[#This Row],[Collected]]</f>
        <v>17.68</v>
      </c>
    </row>
    <row r="135" spans="1:7" x14ac:dyDescent="0.3">
      <c r="A135">
        <f t="shared" ca="1" si="8"/>
        <v>760719</v>
      </c>
      <c r="B135" s="2">
        <f t="shared" ca="1" si="9"/>
        <v>43472</v>
      </c>
      <c r="C135" s="2" t="s">
        <v>13</v>
      </c>
      <c r="D135" t="s">
        <v>95</v>
      </c>
      <c r="E135" s="1">
        <f t="shared" ca="1" si="10"/>
        <v>147</v>
      </c>
      <c r="F135" s="1">
        <f t="shared" ca="1" si="11"/>
        <v>0</v>
      </c>
      <c r="G135" s="1">
        <f ca="1">VLOOKUP(Invoices[[#This Row],[Collected]],CommissionPercentages[#Data],3)*Invoices[[#This Row],[Collected]]</f>
        <v>7.3500000000000005</v>
      </c>
    </row>
    <row r="136" spans="1:7" x14ac:dyDescent="0.3">
      <c r="A136">
        <f t="shared" ca="1" si="8"/>
        <v>961917</v>
      </c>
      <c r="B136" s="2">
        <f t="shared" ca="1" si="9"/>
        <v>43471</v>
      </c>
      <c r="C136" s="2" t="s">
        <v>15</v>
      </c>
      <c r="D136" t="s">
        <v>96</v>
      </c>
      <c r="E136" s="1">
        <f t="shared" ca="1" si="10"/>
        <v>447</v>
      </c>
      <c r="F136" s="1">
        <f t="shared" ca="1" si="11"/>
        <v>0</v>
      </c>
      <c r="G136" s="1">
        <f ca="1">VLOOKUP(Invoices[[#This Row],[Collected]],CommissionPercentages[#Data],3)*Invoices[[#This Row],[Collected]]</f>
        <v>58.11</v>
      </c>
    </row>
    <row r="137" spans="1:7" x14ac:dyDescent="0.3">
      <c r="A137">
        <f t="shared" ca="1" si="8"/>
        <v>344776</v>
      </c>
      <c r="B137" s="2">
        <f t="shared" ca="1" si="9"/>
        <v>43476</v>
      </c>
      <c r="C137" s="2" t="s">
        <v>7</v>
      </c>
      <c r="D137" t="s">
        <v>97</v>
      </c>
      <c r="E137" s="1">
        <f t="shared" ca="1" si="10"/>
        <v>465</v>
      </c>
      <c r="F137" s="1">
        <f t="shared" ca="1" si="11"/>
        <v>0</v>
      </c>
      <c r="G137" s="1">
        <f ca="1">VLOOKUP(Invoices[[#This Row],[Collected]],CommissionPercentages[#Data],3)*Invoices[[#This Row],[Collected]]</f>
        <v>60.45</v>
      </c>
    </row>
    <row r="138" spans="1:7" x14ac:dyDescent="0.3">
      <c r="A138">
        <f t="shared" ca="1" si="8"/>
        <v>887395</v>
      </c>
      <c r="B138" s="2">
        <f t="shared" ca="1" si="9"/>
        <v>43487</v>
      </c>
      <c r="C138" s="2" t="s">
        <v>9</v>
      </c>
      <c r="D138" t="s">
        <v>98</v>
      </c>
      <c r="E138" s="1">
        <f t="shared" ca="1" si="10"/>
        <v>562</v>
      </c>
      <c r="F138" s="1">
        <f t="shared" ca="1" si="11"/>
        <v>50</v>
      </c>
      <c r="G138" s="1">
        <f ca="1">VLOOKUP(Invoices[[#This Row],[Collected]],CommissionPercentages[#Data],3)*Invoices[[#This Row],[Collected]]</f>
        <v>73.06</v>
      </c>
    </row>
    <row r="139" spans="1:7" x14ac:dyDescent="0.3">
      <c r="A139">
        <f t="shared" ca="1" si="8"/>
        <v>375700</v>
      </c>
      <c r="B139" s="2">
        <f t="shared" ca="1" si="9"/>
        <v>43482</v>
      </c>
      <c r="C139" s="2" t="s">
        <v>11</v>
      </c>
      <c r="D139" t="s">
        <v>99</v>
      </c>
      <c r="E139" s="1">
        <f t="shared" ca="1" si="10"/>
        <v>356</v>
      </c>
      <c r="F139" s="1">
        <f t="shared" ca="1" si="11"/>
        <v>0</v>
      </c>
      <c r="G139" s="1">
        <f ca="1">VLOOKUP(Invoices[[#This Row],[Collected]],CommissionPercentages[#Data],3)*Invoices[[#This Row],[Collected]]</f>
        <v>28.48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/>
  </sheetViews>
  <sheetFormatPr defaultRowHeight="14.4" x14ac:dyDescent="0.3"/>
  <cols>
    <col min="1" max="2" width="11" bestFit="1" customWidth="1"/>
    <col min="3" max="3" width="10.77734375" bestFit="1" customWidth="1"/>
  </cols>
  <sheetData>
    <row r="1" spans="1:3" ht="43.2" x14ac:dyDescent="0.3">
      <c r="A1" s="3" t="s">
        <v>112</v>
      </c>
      <c r="B1" s="3" t="s">
        <v>113</v>
      </c>
      <c r="C1" s="4" t="s">
        <v>114</v>
      </c>
    </row>
    <row r="2" spans="1:3" x14ac:dyDescent="0.3">
      <c r="A2" s="5">
        <v>0</v>
      </c>
      <c r="B2" s="5">
        <v>199</v>
      </c>
      <c r="C2" s="6">
        <v>0.05</v>
      </c>
    </row>
    <row r="3" spans="1:3" x14ac:dyDescent="0.3">
      <c r="A3" s="5">
        <v>200</v>
      </c>
      <c r="B3" s="5">
        <v>399</v>
      </c>
      <c r="C3" s="6">
        <v>0.08</v>
      </c>
    </row>
    <row r="4" spans="1:3" x14ac:dyDescent="0.3">
      <c r="A4" s="5">
        <v>400</v>
      </c>
      <c r="B4" s="5"/>
      <c r="C4" s="6">
        <v>0.13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Notes</vt:lpstr>
      <vt:lpstr>CommissionsForTechs</vt:lpstr>
      <vt:lpstr>Data</vt:lpstr>
      <vt:lpstr>Assumptions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2019-04-25T14:34:26Z</dcterms:created>
  <dcterms:modified xsi:type="dcterms:W3CDTF">2019-04-25T14:48:27Z</dcterms:modified>
</cp:coreProperties>
</file>